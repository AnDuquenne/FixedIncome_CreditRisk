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dou\Documents\Github\FixedIncome_CreditRisk\FixedIncome-CheatProgram\"/>
    </mc:Choice>
  </mc:AlternateContent>
  <xr:revisionPtr revIDLastSave="0" documentId="13_ncr:1_{007C8B50-9D10-4B70-B15A-F5128966E1B3}" xr6:coauthVersionLast="47" xr6:coauthVersionMax="47" xr10:uidLastSave="{00000000-0000-0000-0000-000000000000}"/>
  <bookViews>
    <workbookView xWindow="0" yWindow="105" windowWidth="15360" windowHeight="11415" activeTab="7" xr2:uid="{77F4B5DE-C807-4EE3-8874-A4C344818973}"/>
  </bookViews>
  <sheets>
    <sheet name="Resume" sheetId="1" r:id="rId1"/>
    <sheet name="Rate and discount" sheetId="3" r:id="rId2"/>
    <sheet name="Bond pricing" sheetId="2" r:id="rId3"/>
    <sheet name="Duration &amp; Convexity" sheetId="7" r:id="rId4"/>
    <sheet name="Forwards on bonds" sheetId="4" r:id="rId5"/>
    <sheet name="FRA - Forward Rate Agreement" sheetId="5" r:id="rId6"/>
    <sheet name="IRS - Interest Rate Swap" sheetId="6" r:id="rId7"/>
    <sheet name="Caps &amp; Floors" sheetId="8" r:id="rId8"/>
    <sheet name="Swaptions" sheetId="9" r:id="rId9"/>
    <sheet name="Sheet1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6" l="1" a="1"/>
  <c r="H11" i="6"/>
  <c r="I11" i="6" a="1"/>
  <c r="I11" i="6" s="1"/>
  <c r="J11" i="6" a="1"/>
  <c r="J11" i="6" s="1"/>
  <c r="K11" i="6" a="1"/>
  <c r="K11" i="6"/>
  <c r="L11" i="6" a="1"/>
  <c r="L11" i="6"/>
  <c r="M11" i="6" a="1"/>
  <c r="M11" i="6"/>
  <c r="N11" i="6" a="1"/>
  <c r="N11" i="6"/>
  <c r="O11" i="6" a="1"/>
  <c r="O11" i="6" s="1"/>
  <c r="P11" i="6" a="1"/>
  <c r="P11" i="6" s="1"/>
  <c r="Q11" i="6" a="1"/>
  <c r="Q11" i="6" s="1"/>
  <c r="R11" i="6" a="1"/>
  <c r="R11" i="6"/>
  <c r="S11" i="6" a="1"/>
  <c r="S11" i="6"/>
  <c r="T11" i="6" a="1"/>
  <c r="T11" i="6"/>
  <c r="U11" i="6" a="1"/>
  <c r="U11" i="6" s="1"/>
  <c r="V11" i="6" a="1"/>
  <c r="V11" i="6" s="1"/>
  <c r="W11" i="6" a="1"/>
  <c r="W11" i="6"/>
  <c r="G11" i="6" a="1"/>
  <c r="G11" i="6" s="1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H12" i="3"/>
  <c r="H60" i="5"/>
  <c r="H59" i="5"/>
  <c r="S72" i="9" l="1"/>
  <c r="D18" i="8" l="1"/>
  <c r="G39" i="9" a="1"/>
  <c r="G52" i="9" s="1"/>
  <c r="AH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G18" i="9" a="1"/>
  <c r="G30" i="9" s="1"/>
  <c r="S30" i="9" s="1"/>
  <c r="S51" i="9" s="1"/>
  <c r="AB17" i="9"/>
  <c r="H17" i="9"/>
  <c r="I16" i="9" a="1"/>
  <c r="I16" i="9" s="1"/>
  <c r="W13" i="9"/>
  <c r="AR16" i="9" s="1"/>
  <c r="V13" i="9"/>
  <c r="AQ16" i="9" s="1"/>
  <c r="U13" i="9"/>
  <c r="AP37" i="9" s="1"/>
  <c r="T13" i="9"/>
  <c r="S13" i="9"/>
  <c r="AN16" i="9" s="1"/>
  <c r="R13" i="9"/>
  <c r="Q13" i="9"/>
  <c r="P13" i="9"/>
  <c r="O13" i="9"/>
  <c r="AJ16" i="9" s="1"/>
  <c r="N13" i="9"/>
  <c r="AI16" i="9" s="1"/>
  <c r="M13" i="9"/>
  <c r="AH16" i="9" s="1"/>
  <c r="L13" i="9"/>
  <c r="AG16" i="9" s="1"/>
  <c r="D9" i="9"/>
  <c r="J13" i="9" s="1"/>
  <c r="V8" i="9" a="1"/>
  <c r="V8" i="9" s="1"/>
  <c r="V59" i="9" s="1"/>
  <c r="O8" i="9" a="1"/>
  <c r="O8" i="9" s="1"/>
  <c r="S74" i="8" l="1"/>
  <c r="R74" i="8"/>
  <c r="O71" i="8"/>
  <c r="R73" i="8"/>
  <c r="M71" i="8"/>
  <c r="N72" i="8"/>
  <c r="P73" i="8"/>
  <c r="W71" i="8"/>
  <c r="K71" i="8"/>
  <c r="M72" i="8"/>
  <c r="O73" i="8"/>
  <c r="Q74" i="8"/>
  <c r="P74" i="8"/>
  <c r="O74" i="8"/>
  <c r="U74" i="8"/>
  <c r="Q73" i="8"/>
  <c r="L72" i="8"/>
  <c r="M73" i="8"/>
  <c r="T71" i="8"/>
  <c r="V72" i="8"/>
  <c r="L73" i="8"/>
  <c r="N74" i="8"/>
  <c r="Q72" i="8"/>
  <c r="P72" i="8"/>
  <c r="L71" i="8"/>
  <c r="V71" i="8"/>
  <c r="U71" i="8"/>
  <c r="U72" i="8"/>
  <c r="W73" i="8"/>
  <c r="K73" i="8"/>
  <c r="M74" i="8"/>
  <c r="S73" i="8"/>
  <c r="N71" i="8"/>
  <c r="O72" i="8"/>
  <c r="N73" i="8"/>
  <c r="K72" i="8"/>
  <c r="S71" i="8"/>
  <c r="R71" i="8"/>
  <c r="T72" i="8"/>
  <c r="V73" i="8"/>
  <c r="L74" i="8"/>
  <c r="W72" i="8"/>
  <c r="Q71" i="8"/>
  <c r="S72" i="8"/>
  <c r="U73" i="8"/>
  <c r="W74" i="8"/>
  <c r="K74" i="8"/>
  <c r="T74" i="8"/>
  <c r="P71" i="8"/>
  <c r="R72" i="8"/>
  <c r="T73" i="8"/>
  <c r="V74" i="8"/>
  <c r="D18" i="9"/>
  <c r="V65" i="9" s="1"/>
  <c r="K13" i="9"/>
  <c r="AF16" i="9" s="1"/>
  <c r="G32" i="9"/>
  <c r="N32" i="9" s="1"/>
  <c r="N53" i="9" s="1"/>
  <c r="G19" i="9"/>
  <c r="I19" i="9" s="1"/>
  <c r="G40" i="9"/>
  <c r="G33" i="9"/>
  <c r="M33" i="9" s="1"/>
  <c r="M54" i="9" s="1"/>
  <c r="G20" i="9"/>
  <c r="J20" i="9" s="1"/>
  <c r="G41" i="9"/>
  <c r="G21" i="9"/>
  <c r="K21" i="9" s="1"/>
  <c r="G42" i="9"/>
  <c r="G51" i="9"/>
  <c r="G23" i="9"/>
  <c r="J23" i="9" s="1"/>
  <c r="J44" i="9" s="1"/>
  <c r="P30" i="9"/>
  <c r="P51" i="9" s="1"/>
  <c r="G44" i="9"/>
  <c r="G26" i="9"/>
  <c r="I26" i="9" s="1"/>
  <c r="I47" i="9" s="1"/>
  <c r="T30" i="9"/>
  <c r="T51" i="9" s="1"/>
  <c r="G50" i="9"/>
  <c r="G22" i="9"/>
  <c r="G24" i="9"/>
  <c r="R30" i="9"/>
  <c r="R51" i="9" s="1"/>
  <c r="G45" i="9"/>
  <c r="G27" i="9"/>
  <c r="N27" i="9" s="1"/>
  <c r="N48" i="9" s="1"/>
  <c r="G31" i="9"/>
  <c r="N31" i="9" s="1"/>
  <c r="N52" i="9" s="1"/>
  <c r="G43" i="9"/>
  <c r="G25" i="9"/>
  <c r="G46" i="9"/>
  <c r="AI37" i="9"/>
  <c r="AK16" i="9"/>
  <c r="AL16" i="9"/>
  <c r="AJ37" i="9"/>
  <c r="AK37" i="9"/>
  <c r="AL37" i="9"/>
  <c r="AM16" i="9"/>
  <c r="AM37" i="9"/>
  <c r="P38" i="9"/>
  <c r="P17" i="9"/>
  <c r="AJ17" i="9"/>
  <c r="AJ38" i="9" s="1"/>
  <c r="O59" i="9"/>
  <c r="AE16" i="9"/>
  <c r="AE37" i="9"/>
  <c r="H8" i="9" a="1"/>
  <c r="H8" i="9" s="1"/>
  <c r="U8" i="9" a="1"/>
  <c r="U8" i="9" s="1"/>
  <c r="L32" i="9"/>
  <c r="L53" i="9" s="1"/>
  <c r="K32" i="9"/>
  <c r="K53" i="9" s="1"/>
  <c r="V32" i="9"/>
  <c r="V53" i="9" s="1"/>
  <c r="J32" i="9"/>
  <c r="J53" i="9" s="1"/>
  <c r="N8" i="9" a="1"/>
  <c r="N8" i="9" s="1"/>
  <c r="N30" i="9"/>
  <c r="N51" i="9" s="1"/>
  <c r="M30" i="9"/>
  <c r="M51" i="9" s="1"/>
  <c r="L30" i="9"/>
  <c r="L51" i="9" s="1"/>
  <c r="Q30" i="9"/>
  <c r="Q51" i="9" s="1"/>
  <c r="H13" i="9"/>
  <c r="P8" i="9" a="1"/>
  <c r="P8" i="9" s="1"/>
  <c r="I8" i="9" a="1"/>
  <c r="I8" i="9" s="1"/>
  <c r="R8" i="9" a="1"/>
  <c r="R8" i="9" s="1"/>
  <c r="T32" i="9"/>
  <c r="T53" i="9" s="1"/>
  <c r="J33" i="9"/>
  <c r="J54" i="9" s="1"/>
  <c r="AQ37" i="9"/>
  <c r="AR37" i="9"/>
  <c r="W8" i="9" a="1"/>
  <c r="W8" i="9" s="1"/>
  <c r="Q8" i="9" a="1"/>
  <c r="Q8" i="9" s="1"/>
  <c r="K8" i="9" a="1"/>
  <c r="K8" i="9" s="1"/>
  <c r="AO37" i="9"/>
  <c r="AO16" i="9"/>
  <c r="I20" i="9"/>
  <c r="S8" i="9" a="1"/>
  <c r="S8" i="9" s="1"/>
  <c r="AP16" i="9"/>
  <c r="I30" i="9"/>
  <c r="I51" i="9" s="1"/>
  <c r="W38" i="9"/>
  <c r="AN37" i="9"/>
  <c r="I13" i="9"/>
  <c r="U32" i="9"/>
  <c r="U53" i="9" s="1"/>
  <c r="J8" i="9" a="1"/>
  <c r="J8" i="9" s="1"/>
  <c r="W17" i="9"/>
  <c r="J30" i="9"/>
  <c r="J51" i="9" s="1"/>
  <c r="G49" i="9"/>
  <c r="G48" i="9"/>
  <c r="G47" i="9"/>
  <c r="G53" i="9"/>
  <c r="L8" i="9" a="1"/>
  <c r="L8" i="9" s="1"/>
  <c r="T8" i="9" a="1"/>
  <c r="T8" i="9" s="1"/>
  <c r="K30" i="9"/>
  <c r="K51" i="9" s="1"/>
  <c r="I32" i="9"/>
  <c r="I53" i="9" s="1"/>
  <c r="G39" i="9"/>
  <c r="G54" i="9"/>
  <c r="M8" i="9" a="1"/>
  <c r="M8" i="9" s="1"/>
  <c r="AQ17" i="9"/>
  <c r="AQ38" i="9" s="1"/>
  <c r="O30" i="9"/>
  <c r="O51" i="9" s="1"/>
  <c r="M32" i="9"/>
  <c r="M53" i="9" s="1"/>
  <c r="AG37" i="9"/>
  <c r="G28" i="9"/>
  <c r="G29" i="9"/>
  <c r="G18" i="9"/>
  <c r="Q32" i="9" l="1"/>
  <c r="Q53" i="9" s="1"/>
  <c r="AF37" i="9"/>
  <c r="O32" i="9"/>
  <c r="O53" i="9" s="1"/>
  <c r="S32" i="9"/>
  <c r="S53" i="9" s="1"/>
  <c r="Q33" i="9"/>
  <c r="Q54" i="9" s="1"/>
  <c r="J21" i="9"/>
  <c r="O33" i="9"/>
  <c r="O54" i="9" s="1"/>
  <c r="M27" i="9"/>
  <c r="M48" i="9" s="1"/>
  <c r="K33" i="9"/>
  <c r="K54" i="9" s="1"/>
  <c r="R33" i="9"/>
  <c r="R54" i="9" s="1"/>
  <c r="R31" i="9"/>
  <c r="R52" i="9" s="1"/>
  <c r="I21" i="9"/>
  <c r="S33" i="9"/>
  <c r="S54" i="9" s="1"/>
  <c r="K23" i="9"/>
  <c r="K44" i="9" s="1"/>
  <c r="V68" i="9"/>
  <c r="O68" i="9"/>
  <c r="O65" i="9"/>
  <c r="I33" i="9"/>
  <c r="I54" i="9" s="1"/>
  <c r="N33" i="9"/>
  <c r="N54" i="9" s="1"/>
  <c r="M31" i="9"/>
  <c r="M52" i="9" s="1"/>
  <c r="L23" i="9"/>
  <c r="L44" i="9" s="1"/>
  <c r="I23" i="9"/>
  <c r="I44" i="9" s="1"/>
  <c r="M23" i="9"/>
  <c r="M44" i="9" s="1"/>
  <c r="T31" i="9"/>
  <c r="T52" i="9" s="1"/>
  <c r="J31" i="9"/>
  <c r="J52" i="9" s="1"/>
  <c r="O31" i="9"/>
  <c r="O52" i="9" s="1"/>
  <c r="I31" i="9"/>
  <c r="I52" i="9" s="1"/>
  <c r="K31" i="9"/>
  <c r="K52" i="9" s="1"/>
  <c r="H38" i="9"/>
  <c r="Q27" i="9"/>
  <c r="Q48" i="9" s="1"/>
  <c r="P27" i="9"/>
  <c r="P48" i="9" s="1"/>
  <c r="O27" i="9"/>
  <c r="O48" i="9" s="1"/>
  <c r="J27" i="9"/>
  <c r="J48" i="9" s="1"/>
  <c r="K27" i="9"/>
  <c r="K48" i="9" s="1"/>
  <c r="I27" i="9"/>
  <c r="I48" i="9" s="1"/>
  <c r="Q31" i="9"/>
  <c r="Q52" i="9" s="1"/>
  <c r="N24" i="9"/>
  <c r="N45" i="9" s="1"/>
  <c r="J24" i="9"/>
  <c r="J45" i="9" s="1"/>
  <c r="I24" i="9"/>
  <c r="I45" i="9" s="1"/>
  <c r="L24" i="9"/>
  <c r="L45" i="9" s="1"/>
  <c r="K24" i="9"/>
  <c r="K45" i="9" s="1"/>
  <c r="L22" i="9"/>
  <c r="L43" i="9" s="1"/>
  <c r="K22" i="9"/>
  <c r="K43" i="9" s="1"/>
  <c r="J22" i="9"/>
  <c r="J43" i="9" s="1"/>
  <c r="I22" i="9"/>
  <c r="I43" i="9" s="1"/>
  <c r="U33" i="9"/>
  <c r="U54" i="9" s="1"/>
  <c r="W33" i="9"/>
  <c r="W54" i="9" s="1"/>
  <c r="V33" i="9"/>
  <c r="V54" i="9" s="1"/>
  <c r="P33" i="9"/>
  <c r="P54" i="9" s="1"/>
  <c r="O25" i="9"/>
  <c r="O46" i="9" s="1"/>
  <c r="N25" i="9"/>
  <c r="N46" i="9" s="1"/>
  <c r="K25" i="9"/>
  <c r="K46" i="9" s="1"/>
  <c r="M25" i="9"/>
  <c r="M46" i="9" s="1"/>
  <c r="I25" i="9"/>
  <c r="I46" i="9" s="1"/>
  <c r="L25" i="9"/>
  <c r="L46" i="9" s="1"/>
  <c r="J25" i="9"/>
  <c r="J46" i="9" s="1"/>
  <c r="P31" i="9"/>
  <c r="P52" i="9" s="1"/>
  <c r="U31" i="9"/>
  <c r="U52" i="9" s="1"/>
  <c r="S31" i="9"/>
  <c r="S52" i="9" s="1"/>
  <c r="M24" i="9"/>
  <c r="M45" i="9" s="1"/>
  <c r="L31" i="9"/>
  <c r="L52" i="9" s="1"/>
  <c r="L27" i="9"/>
  <c r="L48" i="9" s="1"/>
  <c r="L33" i="9"/>
  <c r="L54" i="9" s="1"/>
  <c r="T33" i="9"/>
  <c r="T54" i="9" s="1"/>
  <c r="P26" i="9"/>
  <c r="P47" i="9" s="1"/>
  <c r="L26" i="9"/>
  <c r="L47" i="9" s="1"/>
  <c r="O26" i="9"/>
  <c r="O47" i="9" s="1"/>
  <c r="M26" i="9"/>
  <c r="M47" i="9" s="1"/>
  <c r="K26" i="9"/>
  <c r="K47" i="9" s="1"/>
  <c r="N26" i="9"/>
  <c r="N47" i="9" s="1"/>
  <c r="J26" i="9"/>
  <c r="J47" i="9" s="1"/>
  <c r="R32" i="9"/>
  <c r="R53" i="9" s="1"/>
  <c r="P32" i="9"/>
  <c r="P53" i="9" s="1"/>
  <c r="V62" i="9"/>
  <c r="S17" i="9"/>
  <c r="AM17" i="9"/>
  <c r="AM38" i="9" s="1"/>
  <c r="R59" i="9"/>
  <c r="S38" i="9"/>
  <c r="AG17" i="9"/>
  <c r="AG38" i="9" s="1"/>
  <c r="M17" i="9"/>
  <c r="L59" i="9"/>
  <c r="M38" i="9"/>
  <c r="K59" i="9"/>
  <c r="AF17" i="9"/>
  <c r="AF38" i="9" s="1"/>
  <c r="L17" i="9"/>
  <c r="L38" i="9"/>
  <c r="Q38" i="9"/>
  <c r="AK17" i="9"/>
  <c r="AK38" i="9" s="1"/>
  <c r="P59" i="9"/>
  <c r="Q17" i="9"/>
  <c r="AD37" i="9"/>
  <c r="AD16" i="9"/>
  <c r="U59" i="9"/>
  <c r="AP17" i="9"/>
  <c r="AP38" i="9" s="1"/>
  <c r="V17" i="9"/>
  <c r="V38" i="9"/>
  <c r="W59" i="9"/>
  <c r="X17" i="9"/>
  <c r="X38" i="9"/>
  <c r="AR17" i="9"/>
  <c r="AR38" i="9" s="1"/>
  <c r="J59" i="9"/>
  <c r="K38" i="9"/>
  <c r="AE17" i="9"/>
  <c r="AE38" i="9" s="1"/>
  <c r="K17" i="9"/>
  <c r="V63" i="9"/>
  <c r="R28" i="9"/>
  <c r="R49" i="9" s="1"/>
  <c r="I28" i="9"/>
  <c r="I49" i="9" s="1"/>
  <c r="N28" i="9"/>
  <c r="N49" i="9" s="1"/>
  <c r="O28" i="9"/>
  <c r="O49" i="9" s="1"/>
  <c r="Q28" i="9"/>
  <c r="Q49" i="9" s="1"/>
  <c r="P28" i="9"/>
  <c r="P49" i="9" s="1"/>
  <c r="M28" i="9"/>
  <c r="M49" i="9" s="1"/>
  <c r="L28" i="9"/>
  <c r="L49" i="9" s="1"/>
  <c r="K28" i="9"/>
  <c r="K49" i="9" s="1"/>
  <c r="J28" i="9"/>
  <c r="J49" i="9" s="1"/>
  <c r="AA39" i="9" a="1"/>
  <c r="AC37" i="9"/>
  <c r="AA18" i="9" a="1"/>
  <c r="AC16" i="9"/>
  <c r="O62" i="9"/>
  <c r="O64" i="9"/>
  <c r="O66" i="9"/>
  <c r="O61" i="9"/>
  <c r="O63" i="9"/>
  <c r="H59" i="9"/>
  <c r="I17" i="9"/>
  <c r="I38" i="9"/>
  <c r="AC17" i="9"/>
  <c r="AC38" i="9" s="1"/>
  <c r="L29" i="9"/>
  <c r="L50" i="9" s="1"/>
  <c r="K29" i="9"/>
  <c r="K50" i="9" s="1"/>
  <c r="J29" i="9"/>
  <c r="J50" i="9" s="1"/>
  <c r="S29" i="9"/>
  <c r="S50" i="9" s="1"/>
  <c r="R29" i="9"/>
  <c r="R50" i="9" s="1"/>
  <c r="I29" i="9"/>
  <c r="I50" i="9" s="1"/>
  <c r="Q29" i="9"/>
  <c r="Q50" i="9" s="1"/>
  <c r="P29" i="9"/>
  <c r="P50" i="9" s="1"/>
  <c r="O29" i="9"/>
  <c r="O50" i="9" s="1"/>
  <c r="N29" i="9"/>
  <c r="N50" i="9" s="1"/>
  <c r="M29" i="9"/>
  <c r="M50" i="9" s="1"/>
  <c r="V61" i="9"/>
  <c r="V66" i="9"/>
  <c r="AI17" i="9"/>
  <c r="AI38" i="9" s="1"/>
  <c r="O38" i="9"/>
  <c r="O17" i="9"/>
  <c r="N59" i="9"/>
  <c r="V64" i="9"/>
  <c r="T59" i="9"/>
  <c r="AO17" i="9"/>
  <c r="AO38" i="9" s="1"/>
  <c r="U17" i="9"/>
  <c r="U38" i="9"/>
  <c r="AH17" i="9"/>
  <c r="AH38" i="9" s="1"/>
  <c r="N38" i="9"/>
  <c r="M59" i="9"/>
  <c r="N17" i="9"/>
  <c r="I59" i="9"/>
  <c r="J17" i="9"/>
  <c r="J38" i="9"/>
  <c r="AD17" i="9"/>
  <c r="AD38" i="9" s="1"/>
  <c r="T17" i="9"/>
  <c r="S59" i="9"/>
  <c r="T38" i="9"/>
  <c r="AN17" i="9"/>
  <c r="AN38" i="9" s="1"/>
  <c r="R17" i="9"/>
  <c r="Q59" i="9"/>
  <c r="AL17" i="9"/>
  <c r="AL38" i="9" s="1"/>
  <c r="R38" i="9"/>
  <c r="K68" i="9" l="1"/>
  <c r="K65" i="9"/>
  <c r="I65" i="9"/>
  <c r="I68" i="9"/>
  <c r="H68" i="9"/>
  <c r="H65" i="9"/>
  <c r="H61" i="9"/>
  <c r="J65" i="9"/>
  <c r="J68" i="9"/>
  <c r="P68" i="9"/>
  <c r="P65" i="9"/>
  <c r="R65" i="9"/>
  <c r="R68" i="9"/>
  <c r="T65" i="9"/>
  <c r="T68" i="9"/>
  <c r="U65" i="9"/>
  <c r="U68" i="9"/>
  <c r="L68" i="9"/>
  <c r="L65" i="9"/>
  <c r="Q65" i="9"/>
  <c r="Q68" i="9"/>
  <c r="S65" i="9"/>
  <c r="S68" i="9"/>
  <c r="M68" i="9"/>
  <c r="M65" i="9"/>
  <c r="N65" i="9"/>
  <c r="N68" i="9"/>
  <c r="W68" i="9"/>
  <c r="W65" i="9"/>
  <c r="M62" i="9"/>
  <c r="M63" i="9"/>
  <c r="M64" i="9"/>
  <c r="M66" i="9"/>
  <c r="M61" i="9"/>
  <c r="K66" i="9"/>
  <c r="K63" i="9"/>
  <c r="K64" i="9"/>
  <c r="K62" i="9"/>
  <c r="K61" i="9"/>
  <c r="W66" i="9"/>
  <c r="W63" i="9"/>
  <c r="W61" i="9"/>
  <c r="W62" i="9"/>
  <c r="W64" i="9"/>
  <c r="H39" i="9" a="1"/>
  <c r="H18" i="9" a="1"/>
  <c r="AB18" i="9" a="1"/>
  <c r="AB39" i="9" a="1"/>
  <c r="AA51" i="9"/>
  <c r="AA39" i="9"/>
  <c r="AA50" i="9"/>
  <c r="AA49" i="9"/>
  <c r="AA54" i="9"/>
  <c r="AA44" i="9"/>
  <c r="AA53" i="9"/>
  <c r="AA52" i="9"/>
  <c r="AA48" i="9"/>
  <c r="AA47" i="9"/>
  <c r="AA45" i="9"/>
  <c r="AA46" i="9"/>
  <c r="AA43" i="9"/>
  <c r="AA41" i="9"/>
  <c r="AA40" i="9"/>
  <c r="AA42" i="9"/>
  <c r="Q64" i="9"/>
  <c r="Q61" i="9"/>
  <c r="Q66" i="9"/>
  <c r="Q63" i="9"/>
  <c r="Q62" i="9"/>
  <c r="U66" i="9"/>
  <c r="U63" i="9"/>
  <c r="U61" i="9"/>
  <c r="U62" i="9"/>
  <c r="U64" i="9"/>
  <c r="S64" i="9"/>
  <c r="S61" i="9"/>
  <c r="S66" i="9"/>
  <c r="S63" i="9"/>
  <c r="S62" i="9"/>
  <c r="P62" i="9"/>
  <c r="P66" i="9"/>
  <c r="P61" i="9"/>
  <c r="P63" i="9"/>
  <c r="P64" i="9"/>
  <c r="R64" i="9"/>
  <c r="R61" i="9"/>
  <c r="R66" i="9"/>
  <c r="R62" i="9"/>
  <c r="R63" i="9"/>
  <c r="N62" i="9"/>
  <c r="N63" i="9"/>
  <c r="N64" i="9"/>
  <c r="N66" i="9"/>
  <c r="N61" i="9"/>
  <c r="J66" i="9"/>
  <c r="J63" i="9"/>
  <c r="J64" i="9"/>
  <c r="J62" i="9"/>
  <c r="J61" i="9"/>
  <c r="I66" i="9"/>
  <c r="I63" i="9"/>
  <c r="I64" i="9"/>
  <c r="I62" i="9"/>
  <c r="I61" i="9"/>
  <c r="AA32" i="9"/>
  <c r="AA20" i="9"/>
  <c r="AA31" i="9"/>
  <c r="AA19" i="9"/>
  <c r="AC19" i="9" s="1"/>
  <c r="AA30" i="9"/>
  <c r="AA18" i="9"/>
  <c r="AA27" i="9"/>
  <c r="AA26" i="9"/>
  <c r="AA25" i="9"/>
  <c r="AA23" i="9"/>
  <c r="AA21" i="9"/>
  <c r="AA24" i="9"/>
  <c r="AA33" i="9"/>
  <c r="AA22" i="9"/>
  <c r="AA29" i="9"/>
  <c r="AA28" i="9"/>
  <c r="H64" i="9"/>
  <c r="H63" i="9"/>
  <c r="H62" i="9"/>
  <c r="H66" i="9"/>
  <c r="L66" i="9"/>
  <c r="L63" i="9"/>
  <c r="L62" i="9"/>
  <c r="L64" i="9"/>
  <c r="L61" i="9"/>
  <c r="T64" i="9"/>
  <c r="T61" i="9"/>
  <c r="T66" i="9"/>
  <c r="T63" i="9"/>
  <c r="T62" i="9"/>
  <c r="H73" i="9" l="1"/>
  <c r="AH30" i="9"/>
  <c r="AH51" i="9" s="1"/>
  <c r="AG30" i="9"/>
  <c r="AG51" i="9" s="1"/>
  <c r="AF30" i="9"/>
  <c r="AF51" i="9" s="1"/>
  <c r="AL30" i="9"/>
  <c r="AL51" i="9" s="1"/>
  <c r="AK30" i="9"/>
  <c r="AK51" i="9" s="1"/>
  <c r="AJ30" i="9"/>
  <c r="AJ51" i="9" s="1"/>
  <c r="AI30" i="9"/>
  <c r="AI51" i="9" s="1"/>
  <c r="AE30" i="9"/>
  <c r="AE51" i="9" s="1"/>
  <c r="AC30" i="9"/>
  <c r="AC51" i="9" s="1"/>
  <c r="AD30" i="9"/>
  <c r="AD51" i="9" s="1"/>
  <c r="AN30" i="9"/>
  <c r="AN51" i="9" s="1"/>
  <c r="AM30" i="9"/>
  <c r="AM51" i="9" s="1"/>
  <c r="AB46" i="9"/>
  <c r="AB45" i="9"/>
  <c r="AB44" i="9"/>
  <c r="AB52" i="9"/>
  <c r="AB51" i="9"/>
  <c r="AB43" i="9"/>
  <c r="AB50" i="9"/>
  <c r="AB49" i="9"/>
  <c r="AB48" i="9"/>
  <c r="AB47" i="9"/>
  <c r="AB42" i="9"/>
  <c r="AB41" i="9"/>
  <c r="AB40" i="9"/>
  <c r="AC40" i="9" s="1"/>
  <c r="AB54" i="9"/>
  <c r="AB39" i="9"/>
  <c r="AB53" i="9"/>
  <c r="H44" i="9"/>
  <c r="H43" i="9"/>
  <c r="H54" i="9"/>
  <c r="H42" i="9"/>
  <c r="H53" i="9"/>
  <c r="H52" i="9"/>
  <c r="H51" i="9"/>
  <c r="H47" i="9"/>
  <c r="H50" i="9"/>
  <c r="H46" i="9"/>
  <c r="H49" i="9"/>
  <c r="H41" i="9"/>
  <c r="H48" i="9"/>
  <c r="H45" i="9"/>
  <c r="H40" i="9"/>
  <c r="I40" i="9" s="1"/>
  <c r="H39" i="9"/>
  <c r="AK27" i="9"/>
  <c r="AK48" i="9" s="1"/>
  <c r="AJ27" i="9"/>
  <c r="AJ48" i="9" s="1"/>
  <c r="AI27" i="9"/>
  <c r="AI48" i="9" s="1"/>
  <c r="AB38" i="9"/>
  <c r="AH27" i="9"/>
  <c r="AH48" i="9" s="1"/>
  <c r="AG27" i="9"/>
  <c r="AG48" i="9" s="1"/>
  <c r="AE27" i="9"/>
  <c r="AE48" i="9" s="1"/>
  <c r="AF27" i="9"/>
  <c r="AF48" i="9" s="1"/>
  <c r="AD27" i="9"/>
  <c r="AD48" i="9" s="1"/>
  <c r="AC27" i="9"/>
  <c r="AC48" i="9" s="1"/>
  <c r="AG31" i="9"/>
  <c r="AG52" i="9" s="1"/>
  <c r="AF31" i="9"/>
  <c r="AF52" i="9" s="1"/>
  <c r="AE31" i="9"/>
  <c r="AE52" i="9" s="1"/>
  <c r="AH31" i="9"/>
  <c r="AH52" i="9" s="1"/>
  <c r="AO31" i="9"/>
  <c r="AO52" i="9" s="1"/>
  <c r="AN31" i="9"/>
  <c r="AN52" i="9" s="1"/>
  <c r="AM31" i="9"/>
  <c r="AM52" i="9" s="1"/>
  <c r="AJ31" i="9"/>
  <c r="AJ52" i="9" s="1"/>
  <c r="AL31" i="9"/>
  <c r="AL52" i="9" s="1"/>
  <c r="AK31" i="9"/>
  <c r="AK52" i="9" s="1"/>
  <c r="AI31" i="9"/>
  <c r="AI52" i="9" s="1"/>
  <c r="AD31" i="9"/>
  <c r="AD52" i="9" s="1"/>
  <c r="AC31" i="9"/>
  <c r="AC52" i="9" s="1"/>
  <c r="AH24" i="9"/>
  <c r="AH45" i="9" s="1"/>
  <c r="AG24" i="9"/>
  <c r="AG45" i="9" s="1"/>
  <c r="AF24" i="9"/>
  <c r="AF45" i="9" s="1"/>
  <c r="AE24" i="9"/>
  <c r="AE45" i="9" s="1"/>
  <c r="AD24" i="9"/>
  <c r="AD45" i="9" s="1"/>
  <c r="AC24" i="9"/>
  <c r="AC45" i="9" s="1"/>
  <c r="H25" i="9"/>
  <c r="H24" i="9"/>
  <c r="H23" i="9"/>
  <c r="H29" i="9"/>
  <c r="H28" i="9"/>
  <c r="H32" i="9"/>
  <c r="H27" i="9"/>
  <c r="H22" i="9"/>
  <c r="H33" i="9"/>
  <c r="H26" i="9"/>
  <c r="H21" i="9"/>
  <c r="H20" i="9"/>
  <c r="H19" i="9"/>
  <c r="H18" i="9"/>
  <c r="H31" i="9"/>
  <c r="H30" i="9"/>
  <c r="AG29" i="9"/>
  <c r="AG50" i="9" s="1"/>
  <c r="AF29" i="9"/>
  <c r="AF50" i="9" s="1"/>
  <c r="AE29" i="9"/>
  <c r="AE50" i="9" s="1"/>
  <c r="AK29" i="9"/>
  <c r="AK50" i="9" s="1"/>
  <c r="AH29" i="9"/>
  <c r="AH50" i="9" s="1"/>
  <c r="AM29" i="9"/>
  <c r="AM50" i="9" s="1"/>
  <c r="AL29" i="9"/>
  <c r="AL50" i="9" s="1"/>
  <c r="AJ29" i="9"/>
  <c r="AJ50" i="9" s="1"/>
  <c r="AI29" i="9"/>
  <c r="AI50" i="9" s="1"/>
  <c r="AD29" i="9"/>
  <c r="AD50" i="9" s="1"/>
  <c r="AC29" i="9"/>
  <c r="AC50" i="9" s="1"/>
  <c r="AD22" i="9"/>
  <c r="AD43" i="9" s="1"/>
  <c r="AC22" i="9"/>
  <c r="AC43" i="9" s="1"/>
  <c r="AE22" i="9"/>
  <c r="AE43" i="9" s="1"/>
  <c r="AF22" i="9"/>
  <c r="AF43" i="9" s="1"/>
  <c r="AB27" i="9"/>
  <c r="AB26" i="9"/>
  <c r="AB25" i="9"/>
  <c r="AB28" i="9"/>
  <c r="AB24" i="9"/>
  <c r="AB19" i="9"/>
  <c r="AB33" i="9"/>
  <c r="AB32" i="9"/>
  <c r="AB23" i="9"/>
  <c r="AB21" i="9"/>
  <c r="AB18" i="9"/>
  <c r="AB22" i="9"/>
  <c r="AB20" i="9"/>
  <c r="AB31" i="9"/>
  <c r="AB30" i="9"/>
  <c r="AB29" i="9"/>
  <c r="AD28" i="9"/>
  <c r="AD49" i="9" s="1"/>
  <c r="AC28" i="9"/>
  <c r="AC49" i="9" s="1"/>
  <c r="AH28" i="9"/>
  <c r="AH49" i="9" s="1"/>
  <c r="AG28" i="9"/>
  <c r="AG49" i="9" s="1"/>
  <c r="AF28" i="9"/>
  <c r="AF49" i="9" s="1"/>
  <c r="AE28" i="9"/>
  <c r="AE49" i="9" s="1"/>
  <c r="AK28" i="9"/>
  <c r="AK49" i="9" s="1"/>
  <c r="AL28" i="9"/>
  <c r="AL49" i="9" s="1"/>
  <c r="AJ28" i="9"/>
  <c r="AJ49" i="9" s="1"/>
  <c r="AI28" i="9"/>
  <c r="AI49" i="9" s="1"/>
  <c r="AD20" i="9"/>
  <c r="AC20" i="9"/>
  <c r="AC41" i="9" s="1"/>
  <c r="AP32" i="9"/>
  <c r="AP53" i="9" s="1"/>
  <c r="AD32" i="9"/>
  <c r="AD53" i="9" s="1"/>
  <c r="AO32" i="9"/>
  <c r="AO53" i="9" s="1"/>
  <c r="AC32" i="9"/>
  <c r="AC53" i="9" s="1"/>
  <c r="AN32" i="9"/>
  <c r="AN53" i="9" s="1"/>
  <c r="AH32" i="9"/>
  <c r="AH53" i="9" s="1"/>
  <c r="AG32" i="9"/>
  <c r="AG53" i="9" s="1"/>
  <c r="AF32" i="9"/>
  <c r="AF53" i="9" s="1"/>
  <c r="AE32" i="9"/>
  <c r="AE53" i="9" s="1"/>
  <c r="AM32" i="9"/>
  <c r="AM53" i="9" s="1"/>
  <c r="AK32" i="9"/>
  <c r="AK53" i="9" s="1"/>
  <c r="AL32" i="9"/>
  <c r="AL53" i="9" s="1"/>
  <c r="AJ32" i="9"/>
  <c r="AJ53" i="9" s="1"/>
  <c r="AI32" i="9"/>
  <c r="AI53" i="9" s="1"/>
  <c r="AG23" i="9"/>
  <c r="AG44" i="9" s="1"/>
  <c r="AF23" i="9"/>
  <c r="AF44" i="9" s="1"/>
  <c r="AE23" i="9"/>
  <c r="AE44" i="9" s="1"/>
  <c r="AD23" i="9"/>
  <c r="AD44" i="9" s="1"/>
  <c r="AC23" i="9"/>
  <c r="AC44" i="9" s="1"/>
  <c r="AD26" i="9"/>
  <c r="AD47" i="9" s="1"/>
  <c r="AC26" i="9"/>
  <c r="AC47" i="9" s="1"/>
  <c r="AJ26" i="9"/>
  <c r="AJ47" i="9" s="1"/>
  <c r="AI26" i="9"/>
  <c r="AI47" i="9" s="1"/>
  <c r="AH26" i="9"/>
  <c r="AH47" i="9" s="1"/>
  <c r="AE26" i="9"/>
  <c r="AE47" i="9" s="1"/>
  <c r="AG26" i="9"/>
  <c r="AG47" i="9" s="1"/>
  <c r="AF26" i="9"/>
  <c r="AF47" i="9" s="1"/>
  <c r="AK33" i="9"/>
  <c r="AK54" i="9" s="1"/>
  <c r="AJ33" i="9"/>
  <c r="AJ54" i="9" s="1"/>
  <c r="AI33" i="9"/>
  <c r="AI54" i="9" s="1"/>
  <c r="AL33" i="9"/>
  <c r="AL54" i="9" s="1"/>
  <c r="AH33" i="9"/>
  <c r="AH54" i="9" s="1"/>
  <c r="AE33" i="9"/>
  <c r="AE54" i="9" s="1"/>
  <c r="AQ33" i="9"/>
  <c r="AQ54" i="9" s="1"/>
  <c r="AG33" i="9"/>
  <c r="AG54" i="9" s="1"/>
  <c r="AF33" i="9"/>
  <c r="AF54" i="9" s="1"/>
  <c r="AC33" i="9"/>
  <c r="AC54" i="9" s="1"/>
  <c r="AD33" i="9"/>
  <c r="AD54" i="9" s="1"/>
  <c r="AO33" i="9"/>
  <c r="AO54" i="9" s="1"/>
  <c r="AP33" i="9"/>
  <c r="AP54" i="9" s="1"/>
  <c r="AN33" i="9"/>
  <c r="AN54" i="9" s="1"/>
  <c r="AM33" i="9"/>
  <c r="AM54" i="9" s="1"/>
  <c r="AC21" i="9"/>
  <c r="AE21" i="9"/>
  <c r="AE42" i="9" s="1"/>
  <c r="AD21" i="9"/>
  <c r="AD42" i="9" s="1"/>
  <c r="AG25" i="9"/>
  <c r="AG46" i="9" s="1"/>
  <c r="AF25" i="9"/>
  <c r="AF46" i="9" s="1"/>
  <c r="AE25" i="9"/>
  <c r="AE46" i="9" s="1"/>
  <c r="AI25" i="9"/>
  <c r="AI46" i="9" s="1"/>
  <c r="AD25" i="9"/>
  <c r="AD46" i="9" s="1"/>
  <c r="AH25" i="9"/>
  <c r="AH46" i="9" s="1"/>
  <c r="AC25" i="9"/>
  <c r="AC46" i="9" s="1"/>
  <c r="AC42" i="9" l="1"/>
  <c r="I42" i="9"/>
  <c r="J42" i="9"/>
  <c r="K42" i="9"/>
  <c r="I69" i="9" a="1"/>
  <c r="AD41" i="9"/>
  <c r="J41" i="9"/>
  <c r="I41" i="9"/>
  <c r="I69" i="9" l="1"/>
  <c r="O69" i="9"/>
  <c r="P69" i="9"/>
  <c r="Q69" i="9"/>
  <c r="S69" i="9"/>
  <c r="T69" i="9"/>
  <c r="N69" i="9"/>
  <c r="R69" i="9"/>
  <c r="M69" i="9"/>
  <c r="L69" i="9"/>
  <c r="J69" i="9"/>
  <c r="U69" i="9"/>
  <c r="W69" i="9"/>
  <c r="K69" i="9"/>
  <c r="V69" i="9"/>
  <c r="H71" i="9" l="1" a="1"/>
  <c r="H71" i="9" s="1"/>
  <c r="H72" i="9" s="1"/>
  <c r="G39" i="8" a="1"/>
  <c r="G50" i="8" s="1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G18" i="8" a="1"/>
  <c r="AB17" i="8"/>
  <c r="H17" i="8"/>
  <c r="I16" i="8" a="1"/>
  <c r="I16" i="8" s="1"/>
  <c r="W13" i="8"/>
  <c r="V13" i="8"/>
  <c r="U13" i="8"/>
  <c r="T13" i="8"/>
  <c r="AO16" i="8" s="1"/>
  <c r="S13" i="8"/>
  <c r="R13" i="8"/>
  <c r="Q13" i="8"/>
  <c r="P13" i="8"/>
  <c r="O13" i="8"/>
  <c r="N13" i="8"/>
  <c r="M13" i="8"/>
  <c r="L13" i="8"/>
  <c r="L68" i="8" s="1"/>
  <c r="K13" i="8"/>
  <c r="J13" i="8"/>
  <c r="D9" i="8"/>
  <c r="V8" i="8" a="1"/>
  <c r="V8" i="8" s="1"/>
  <c r="V59" i="8" s="1"/>
  <c r="Q8" i="8" a="1"/>
  <c r="Q8" i="8" s="1"/>
  <c r="R38" i="8" s="1"/>
  <c r="O8" i="8" a="1"/>
  <c r="O8" i="8" s="1"/>
  <c r="M8" i="8" a="1"/>
  <c r="M8" i="8" s="1"/>
  <c r="J8" i="8" a="1"/>
  <c r="J8" i="8" s="1"/>
  <c r="J59" i="8" s="1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H68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H67" i="4"/>
  <c r="H49" i="4" a="1"/>
  <c r="H49" i="4" s="1"/>
  <c r="H56" i="4"/>
  <c r="H57" i="4"/>
  <c r="H58" i="4"/>
  <c r="H59" i="4"/>
  <c r="H60" i="4"/>
  <c r="AB49" i="4" a="1"/>
  <c r="AB49" i="4" s="1"/>
  <c r="AB28" i="4" a="1"/>
  <c r="AB28" i="4" s="1"/>
  <c r="AB32" i="4"/>
  <c r="AB33" i="4"/>
  <c r="AB34" i="4"/>
  <c r="AB35" i="4"/>
  <c r="AB36" i="4"/>
  <c r="AB37" i="4"/>
  <c r="AB38" i="4"/>
  <c r="AB39" i="4"/>
  <c r="H28" i="4" a="1"/>
  <c r="H28" i="4" s="1"/>
  <c r="H31" i="4"/>
  <c r="H33" i="4"/>
  <c r="H34" i="4"/>
  <c r="H35" i="4"/>
  <c r="H36" i="4"/>
  <c r="H37" i="4"/>
  <c r="H38" i="4"/>
  <c r="H39" i="4"/>
  <c r="H43" i="4"/>
  <c r="I23" i="4"/>
  <c r="AD47" i="4" s="1"/>
  <c r="J23" i="4"/>
  <c r="K23" i="4"/>
  <c r="L23" i="4"/>
  <c r="AG26" i="4" s="1"/>
  <c r="M23" i="4"/>
  <c r="N23" i="4"/>
  <c r="O23" i="4"/>
  <c r="P23" i="4"/>
  <c r="AK47" i="4" s="1"/>
  <c r="Q23" i="4"/>
  <c r="AL47" i="4" s="1"/>
  <c r="R23" i="4"/>
  <c r="AM47" i="4" s="1"/>
  <c r="S23" i="4"/>
  <c r="AN47" i="4" s="1"/>
  <c r="T23" i="4"/>
  <c r="AO47" i="4" s="1"/>
  <c r="U23" i="4"/>
  <c r="AP47" i="4" s="1"/>
  <c r="V23" i="4"/>
  <c r="W23" i="4"/>
  <c r="H23" i="4"/>
  <c r="AC26" i="4" s="1"/>
  <c r="I18" i="4" a="1"/>
  <c r="I18" i="4" s="1"/>
  <c r="J18" i="4" a="1"/>
  <c r="J18" i="4" s="1"/>
  <c r="K18" i="4" a="1"/>
  <c r="K18" i="4" s="1"/>
  <c r="AF27" i="4" s="1"/>
  <c r="AF48" i="4" s="1"/>
  <c r="L18" i="4" a="1"/>
  <c r="L18" i="4"/>
  <c r="M18" i="4" a="1"/>
  <c r="M18" i="4"/>
  <c r="AH27" i="4" s="1"/>
  <c r="AH48" i="4" s="1"/>
  <c r="N18" i="4" a="1"/>
  <c r="N18" i="4" s="1"/>
  <c r="AI27" i="4" s="1"/>
  <c r="AI48" i="4" s="1"/>
  <c r="O18" i="4" a="1"/>
  <c r="O18" i="4" s="1"/>
  <c r="P18" i="4" a="1"/>
  <c r="P18" i="4" s="1"/>
  <c r="Q48" i="4" s="1"/>
  <c r="Q18" i="4" a="1"/>
  <c r="Q18" i="4" s="1"/>
  <c r="AL27" i="4" s="1"/>
  <c r="AL48" i="4" s="1"/>
  <c r="R18" i="4" a="1"/>
  <c r="R18" i="4"/>
  <c r="S18" i="4" a="1"/>
  <c r="S18" i="4"/>
  <c r="AN27" i="4" s="1"/>
  <c r="AN48" i="4" s="1"/>
  <c r="T18" i="4" a="1"/>
  <c r="T18" i="4" s="1"/>
  <c r="U27" i="4" s="1"/>
  <c r="U18" i="4" a="1"/>
  <c r="U18" i="4" s="1"/>
  <c r="V18" i="4" a="1"/>
  <c r="V18" i="4" s="1"/>
  <c r="W18" i="4" a="1"/>
  <c r="W18" i="4" s="1"/>
  <c r="H18" i="4" a="1"/>
  <c r="H18" i="4" s="1"/>
  <c r="G49" i="4" a="1"/>
  <c r="G61" i="4" s="1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G28" i="4" a="1"/>
  <c r="G40" i="4" s="1"/>
  <c r="T40" i="4" s="1"/>
  <c r="T61" i="4" s="1"/>
  <c r="AB27" i="4"/>
  <c r="H27" i="4"/>
  <c r="I26" i="4" a="1"/>
  <c r="I26" i="4" s="1"/>
  <c r="AJ47" i="4"/>
  <c r="AI47" i="4"/>
  <c r="D19" i="4"/>
  <c r="AG47" i="4" l="1"/>
  <c r="H75" i="9"/>
  <c r="AJ37" i="8"/>
  <c r="O68" i="8"/>
  <c r="AI16" i="8"/>
  <c r="N68" i="8"/>
  <c r="AL37" i="8"/>
  <c r="Q68" i="8"/>
  <c r="AM16" i="8"/>
  <c r="R68" i="8"/>
  <c r="AK37" i="8"/>
  <c r="P68" i="8"/>
  <c r="AN16" i="8"/>
  <c r="S68" i="8"/>
  <c r="AO37" i="8"/>
  <c r="T68" i="8"/>
  <c r="AH16" i="8"/>
  <c r="M68" i="8"/>
  <c r="U8" i="8" a="1"/>
  <c r="U8" i="8" s="1"/>
  <c r="V17" i="8" s="1"/>
  <c r="J66" i="8"/>
  <c r="AP37" i="8"/>
  <c r="U68" i="8"/>
  <c r="AI37" i="8"/>
  <c r="AQ37" i="8"/>
  <c r="V68" i="8"/>
  <c r="AR37" i="8"/>
  <c r="W68" i="8"/>
  <c r="Q59" i="8"/>
  <c r="AF37" i="8"/>
  <c r="K68" i="8"/>
  <c r="AE37" i="8"/>
  <c r="J68" i="8"/>
  <c r="J61" i="8"/>
  <c r="J63" i="8"/>
  <c r="N38" i="8"/>
  <c r="M59" i="8"/>
  <c r="AJ17" i="8"/>
  <c r="AJ38" i="8" s="1"/>
  <c r="O59" i="8"/>
  <c r="N8" i="8" a="1"/>
  <c r="N8" i="8" s="1"/>
  <c r="N59" i="8" s="1"/>
  <c r="W8" i="8" a="1"/>
  <c r="W8" i="8" s="1"/>
  <c r="X38" i="8" s="1"/>
  <c r="H13" i="8"/>
  <c r="H8" i="8" a="1"/>
  <c r="H8" i="8" s="1"/>
  <c r="I38" i="8" s="1"/>
  <c r="P8" i="8" a="1"/>
  <c r="P8" i="8" s="1"/>
  <c r="P59" i="8" s="1"/>
  <c r="I13" i="8"/>
  <c r="I8" i="8" a="1"/>
  <c r="I8" i="8" s="1"/>
  <c r="I59" i="8" s="1"/>
  <c r="R8" i="8" a="1"/>
  <c r="R8" i="8" s="1"/>
  <c r="K8" i="8" a="1"/>
  <c r="K8" i="8" s="1"/>
  <c r="L8" i="8" a="1"/>
  <c r="L8" i="8" s="1"/>
  <c r="T8" i="8" a="1"/>
  <c r="T8" i="8" s="1"/>
  <c r="T59" i="8" s="1"/>
  <c r="AP16" i="8"/>
  <c r="S8" i="8" a="1"/>
  <c r="S8" i="8" s="1"/>
  <c r="S59" i="8" s="1"/>
  <c r="AR16" i="8"/>
  <c r="AQ16" i="8"/>
  <c r="AM37" i="8"/>
  <c r="AN37" i="8"/>
  <c r="AJ16" i="8"/>
  <c r="AF16" i="8"/>
  <c r="AE16" i="8"/>
  <c r="G42" i="8"/>
  <c r="G43" i="8"/>
  <c r="G44" i="8"/>
  <c r="G45" i="8"/>
  <c r="G46" i="8"/>
  <c r="G47" i="8"/>
  <c r="G48" i="8"/>
  <c r="G49" i="8"/>
  <c r="G51" i="8"/>
  <c r="G39" i="8"/>
  <c r="G52" i="8"/>
  <c r="G40" i="8"/>
  <c r="G53" i="8"/>
  <c r="G41" i="8"/>
  <c r="G54" i="8"/>
  <c r="K38" i="8"/>
  <c r="AE17" i="8"/>
  <c r="AE38" i="8" s="1"/>
  <c r="K17" i="8"/>
  <c r="AQ17" i="8"/>
  <c r="AQ38" i="8" s="1"/>
  <c r="W17" i="8"/>
  <c r="W38" i="8"/>
  <c r="N17" i="8"/>
  <c r="V38" i="8"/>
  <c r="G33" i="8"/>
  <c r="G21" i="8"/>
  <c r="G32" i="8"/>
  <c r="G20" i="8"/>
  <c r="G31" i="8"/>
  <c r="G19" i="8"/>
  <c r="I19" i="8" s="1"/>
  <c r="P38" i="8"/>
  <c r="G18" i="8"/>
  <c r="G23" i="8"/>
  <c r="AK16" i="8"/>
  <c r="P17" i="8"/>
  <c r="AH17" i="8"/>
  <c r="AH38" i="8" s="1"/>
  <c r="G24" i="8"/>
  <c r="G22" i="8"/>
  <c r="AL16" i="8"/>
  <c r="AL17" i="8"/>
  <c r="AL38" i="8" s="1"/>
  <c r="G25" i="8"/>
  <c r="R17" i="8"/>
  <c r="G26" i="8"/>
  <c r="AG37" i="8"/>
  <c r="AG16" i="8"/>
  <c r="G27" i="8"/>
  <c r="G28" i="8"/>
  <c r="AP17" i="8"/>
  <c r="AP38" i="8" s="1"/>
  <c r="G29" i="8"/>
  <c r="AH37" i="8"/>
  <c r="G30" i="8"/>
  <c r="G54" i="4"/>
  <c r="AD26" i="4"/>
  <c r="P40" i="4"/>
  <c r="P61" i="4" s="1"/>
  <c r="O40" i="4"/>
  <c r="O61" i="4" s="1"/>
  <c r="I40" i="4"/>
  <c r="I61" i="4" s="1"/>
  <c r="N40" i="4"/>
  <c r="N61" i="4" s="1"/>
  <c r="Q40" i="4"/>
  <c r="Q61" i="4" s="1"/>
  <c r="G53" i="4"/>
  <c r="M40" i="4"/>
  <c r="M61" i="4" s="1"/>
  <c r="S40" i="4"/>
  <c r="S61" i="4" s="1"/>
  <c r="R40" i="4"/>
  <c r="R61" i="4" s="1"/>
  <c r="L40" i="4"/>
  <c r="L61" i="4" s="1"/>
  <c r="G55" i="4"/>
  <c r="K40" i="4"/>
  <c r="K61" i="4" s="1"/>
  <c r="J40" i="4"/>
  <c r="J61" i="4" s="1"/>
  <c r="G30" i="4"/>
  <c r="G56" i="4"/>
  <c r="G42" i="4"/>
  <c r="G29" i="4"/>
  <c r="I29" i="4" s="1"/>
  <c r="I50" i="4" s="1"/>
  <c r="G57" i="4"/>
  <c r="G43" i="4"/>
  <c r="G33" i="4"/>
  <c r="G63" i="4"/>
  <c r="G32" i="4"/>
  <c r="G34" i="4"/>
  <c r="G64" i="4"/>
  <c r="G41" i="4"/>
  <c r="G36" i="4"/>
  <c r="G50" i="4"/>
  <c r="G62" i="4"/>
  <c r="G37" i="4"/>
  <c r="G51" i="4"/>
  <c r="G31" i="4"/>
  <c r="G35" i="4"/>
  <c r="G38" i="4"/>
  <c r="G52" i="4"/>
  <c r="H55" i="4"/>
  <c r="H54" i="4"/>
  <c r="H53" i="4"/>
  <c r="H64" i="4"/>
  <c r="H52" i="4"/>
  <c r="H63" i="4"/>
  <c r="H51" i="4"/>
  <c r="H62" i="4"/>
  <c r="H50" i="4"/>
  <c r="H61" i="4"/>
  <c r="AB58" i="4"/>
  <c r="AB59" i="4"/>
  <c r="AB57" i="4"/>
  <c r="AB56" i="4"/>
  <c r="AB55" i="4"/>
  <c r="AB54" i="4"/>
  <c r="AB60" i="4"/>
  <c r="AB53" i="4"/>
  <c r="AB64" i="4"/>
  <c r="AB52" i="4"/>
  <c r="AB63" i="4"/>
  <c r="AB51" i="4"/>
  <c r="AB62" i="4"/>
  <c r="AB50" i="4"/>
  <c r="AB61" i="4"/>
  <c r="AB43" i="4"/>
  <c r="AB31" i="4"/>
  <c r="AB42" i="4"/>
  <c r="AB30" i="4"/>
  <c r="AB41" i="4"/>
  <c r="AB29" i="4"/>
  <c r="AB40" i="4"/>
  <c r="H32" i="4"/>
  <c r="H42" i="4"/>
  <c r="H30" i="4"/>
  <c r="H41" i="4"/>
  <c r="H29" i="4"/>
  <c r="H40" i="4"/>
  <c r="AL26" i="4"/>
  <c r="AK26" i="4"/>
  <c r="AA28" i="4" a="1"/>
  <c r="AA42" i="4" s="1"/>
  <c r="AN26" i="4"/>
  <c r="AP26" i="4"/>
  <c r="K27" i="4"/>
  <c r="AE27" i="4"/>
  <c r="AE48" i="4" s="1"/>
  <c r="K48" i="4"/>
  <c r="X27" i="4"/>
  <c r="AR27" i="4"/>
  <c r="AR48" i="4" s="1"/>
  <c r="X48" i="4"/>
  <c r="W27" i="4"/>
  <c r="W48" i="4"/>
  <c r="N27" i="4"/>
  <c r="T27" i="4"/>
  <c r="AG27" i="4"/>
  <c r="AG48" i="4" s="1"/>
  <c r="M27" i="4"/>
  <c r="M48" i="4"/>
  <c r="P48" i="4"/>
  <c r="AJ27" i="4"/>
  <c r="AJ48" i="4" s="1"/>
  <c r="P27" i="4"/>
  <c r="S48" i="4"/>
  <c r="S27" i="4"/>
  <c r="AM27" i="4"/>
  <c r="AM48" i="4" s="1"/>
  <c r="V48" i="4"/>
  <c r="AP27" i="4"/>
  <c r="AP48" i="4" s="1"/>
  <c r="V27" i="4"/>
  <c r="I27" i="4"/>
  <c r="AC27" i="4"/>
  <c r="AC48" i="4" s="1"/>
  <c r="I48" i="4"/>
  <c r="J48" i="4"/>
  <c r="AD27" i="4"/>
  <c r="AD48" i="4" s="1"/>
  <c r="J27" i="4"/>
  <c r="AO27" i="4"/>
  <c r="AO48" i="4" s="1"/>
  <c r="AH26" i="4"/>
  <c r="L48" i="4"/>
  <c r="AI26" i="4"/>
  <c r="L27" i="4"/>
  <c r="AQ27" i="4"/>
  <c r="AQ48" i="4" s="1"/>
  <c r="AH47" i="4"/>
  <c r="R48" i="4"/>
  <c r="R27" i="4"/>
  <c r="AJ26" i="4"/>
  <c r="N48" i="4"/>
  <c r="AA49" i="4" a="1"/>
  <c r="AC47" i="4"/>
  <c r="O27" i="4"/>
  <c r="T48" i="4"/>
  <c r="O48" i="4"/>
  <c r="AE47" i="4"/>
  <c r="AE26" i="4"/>
  <c r="AQ47" i="4"/>
  <c r="AQ26" i="4"/>
  <c r="AM26" i="4"/>
  <c r="U48" i="4"/>
  <c r="AF47" i="4"/>
  <c r="AF26" i="4"/>
  <c r="AR47" i="4"/>
  <c r="AR26" i="4"/>
  <c r="Q27" i="4"/>
  <c r="AO26" i="4"/>
  <c r="AK27" i="4"/>
  <c r="AK48" i="4" s="1"/>
  <c r="G58" i="4"/>
  <c r="G39" i="4"/>
  <c r="G28" i="4"/>
  <c r="G59" i="4"/>
  <c r="G60" i="4"/>
  <c r="G49" i="4"/>
  <c r="J64" i="8" l="1"/>
  <c r="J65" i="8"/>
  <c r="V62" i="8"/>
  <c r="H77" i="9"/>
  <c r="H76" i="9"/>
  <c r="H78" i="9" s="1"/>
  <c r="V65" i="8"/>
  <c r="V66" i="8"/>
  <c r="V61" i="8"/>
  <c r="V64" i="8"/>
  <c r="V63" i="8"/>
  <c r="U59" i="8"/>
  <c r="U63" i="8" s="1"/>
  <c r="Q17" i="8"/>
  <c r="AK17" i="8"/>
  <c r="AK38" i="8" s="1"/>
  <c r="AN17" i="8"/>
  <c r="AN38" i="8" s="1"/>
  <c r="J62" i="8"/>
  <c r="Q65" i="8"/>
  <c r="Q66" i="8"/>
  <c r="J17" i="8"/>
  <c r="Q61" i="8"/>
  <c r="T17" i="8"/>
  <c r="T38" i="8"/>
  <c r="O38" i="8"/>
  <c r="Q38" i="8"/>
  <c r="O17" i="8"/>
  <c r="Q62" i="8"/>
  <c r="Q64" i="8"/>
  <c r="Q63" i="8"/>
  <c r="AC37" i="8"/>
  <c r="H68" i="8"/>
  <c r="AD37" i="8"/>
  <c r="I68" i="8"/>
  <c r="AA39" i="8" a="1"/>
  <c r="AA39" i="8" s="1"/>
  <c r="S38" i="8"/>
  <c r="R59" i="8"/>
  <c r="S17" i="8"/>
  <c r="O65" i="8"/>
  <c r="O62" i="8"/>
  <c r="O64" i="8"/>
  <c r="O61" i="8"/>
  <c r="O66" i="8"/>
  <c r="O63" i="8"/>
  <c r="N65" i="8"/>
  <c r="N62" i="8"/>
  <c r="N64" i="8"/>
  <c r="N61" i="8"/>
  <c r="N66" i="8"/>
  <c r="N63" i="8"/>
  <c r="T66" i="8"/>
  <c r="T63" i="8"/>
  <c r="T61" i="8"/>
  <c r="T65" i="8"/>
  <c r="T62" i="8"/>
  <c r="T64" i="8"/>
  <c r="AO17" i="8"/>
  <c r="AO38" i="8" s="1"/>
  <c r="I66" i="8"/>
  <c r="I63" i="8"/>
  <c r="I64" i="8"/>
  <c r="I65" i="8"/>
  <c r="I62" i="8"/>
  <c r="I61" i="8"/>
  <c r="K59" i="8"/>
  <c r="AF17" i="8"/>
  <c r="AF38" i="8" s="1"/>
  <c r="L38" i="8"/>
  <c r="L17" i="8"/>
  <c r="U38" i="8"/>
  <c r="U17" i="8"/>
  <c r="AD16" i="8"/>
  <c r="AI17" i="8"/>
  <c r="AI38" i="8" s="1"/>
  <c r="AC16" i="8"/>
  <c r="AA18" i="8" a="1"/>
  <c r="AA28" i="8" s="1"/>
  <c r="AG28" i="8" s="1"/>
  <c r="AG49" i="8" s="1"/>
  <c r="P65" i="8"/>
  <c r="P62" i="8"/>
  <c r="P64" i="8"/>
  <c r="P61" i="8"/>
  <c r="P66" i="8"/>
  <c r="P63" i="8"/>
  <c r="X17" i="8"/>
  <c r="AR17" i="8"/>
  <c r="AR38" i="8" s="1"/>
  <c r="W59" i="8"/>
  <c r="I17" i="8"/>
  <c r="H59" i="8"/>
  <c r="H61" i="8" s="1"/>
  <c r="AC17" i="8"/>
  <c r="AC38" i="8" s="1"/>
  <c r="M64" i="8"/>
  <c r="M62" i="8"/>
  <c r="M61" i="8"/>
  <c r="M66" i="8"/>
  <c r="M63" i="8"/>
  <c r="M65" i="8"/>
  <c r="AD17" i="8"/>
  <c r="AD38" i="8" s="1"/>
  <c r="S66" i="8"/>
  <c r="S63" i="8"/>
  <c r="S65" i="8"/>
  <c r="S62" i="8"/>
  <c r="S64" i="8"/>
  <c r="S61" i="8"/>
  <c r="U61" i="8"/>
  <c r="U66" i="8"/>
  <c r="M38" i="8"/>
  <c r="AG17" i="8"/>
  <c r="AG38" i="8" s="1"/>
  <c r="L59" i="8"/>
  <c r="M17" i="8"/>
  <c r="AM17" i="8"/>
  <c r="AM38" i="8" s="1"/>
  <c r="J38" i="8"/>
  <c r="J20" i="8"/>
  <c r="I20" i="8"/>
  <c r="K21" i="8"/>
  <c r="J21" i="8"/>
  <c r="I21" i="8"/>
  <c r="O32" i="8"/>
  <c r="O53" i="8" s="1"/>
  <c r="N32" i="8"/>
  <c r="N53" i="8" s="1"/>
  <c r="M32" i="8"/>
  <c r="M53" i="8" s="1"/>
  <c r="L32" i="8"/>
  <c r="L53" i="8" s="1"/>
  <c r="U32" i="8"/>
  <c r="U53" i="8" s="1"/>
  <c r="T32" i="8"/>
  <c r="T53" i="8" s="1"/>
  <c r="S32" i="8"/>
  <c r="S53" i="8" s="1"/>
  <c r="R32" i="8"/>
  <c r="R53" i="8" s="1"/>
  <c r="Q32" i="8"/>
  <c r="Q53" i="8" s="1"/>
  <c r="P32" i="8"/>
  <c r="P53" i="8" s="1"/>
  <c r="K32" i="8"/>
  <c r="K53" i="8" s="1"/>
  <c r="J32" i="8"/>
  <c r="J53" i="8" s="1"/>
  <c r="I32" i="8"/>
  <c r="I53" i="8" s="1"/>
  <c r="V32" i="8"/>
  <c r="V53" i="8" s="1"/>
  <c r="H38" i="8"/>
  <c r="Q27" i="8"/>
  <c r="Q48" i="8" s="1"/>
  <c r="P27" i="8"/>
  <c r="P48" i="8" s="1"/>
  <c r="N27" i="8"/>
  <c r="N48" i="8" s="1"/>
  <c r="O27" i="8"/>
  <c r="O48" i="8" s="1"/>
  <c r="M27" i="8"/>
  <c r="M48" i="8" s="1"/>
  <c r="L27" i="8"/>
  <c r="L48" i="8" s="1"/>
  <c r="J27" i="8"/>
  <c r="J48" i="8" s="1"/>
  <c r="I27" i="8"/>
  <c r="I48" i="8" s="1"/>
  <c r="K27" i="8"/>
  <c r="K48" i="8" s="1"/>
  <c r="I23" i="8"/>
  <c r="I44" i="8" s="1"/>
  <c r="K23" i="8"/>
  <c r="K44" i="8" s="1"/>
  <c r="J23" i="8"/>
  <c r="J44" i="8" s="1"/>
  <c r="M23" i="8"/>
  <c r="M44" i="8" s="1"/>
  <c r="L23" i="8"/>
  <c r="L44" i="8" s="1"/>
  <c r="W33" i="8"/>
  <c r="W54" i="8" s="1"/>
  <c r="K33" i="8"/>
  <c r="K54" i="8" s="1"/>
  <c r="V33" i="8"/>
  <c r="V54" i="8" s="1"/>
  <c r="J33" i="8"/>
  <c r="J54" i="8" s="1"/>
  <c r="T33" i="8"/>
  <c r="T54" i="8" s="1"/>
  <c r="U33" i="8"/>
  <c r="U54" i="8" s="1"/>
  <c r="I33" i="8"/>
  <c r="I54" i="8" s="1"/>
  <c r="M33" i="8"/>
  <c r="M54" i="8" s="1"/>
  <c r="L33" i="8"/>
  <c r="L54" i="8" s="1"/>
  <c r="O33" i="8"/>
  <c r="O54" i="8" s="1"/>
  <c r="P33" i="8"/>
  <c r="P54" i="8" s="1"/>
  <c r="S33" i="8"/>
  <c r="S54" i="8" s="1"/>
  <c r="R33" i="8"/>
  <c r="R54" i="8" s="1"/>
  <c r="Q33" i="8"/>
  <c r="Q54" i="8" s="1"/>
  <c r="N33" i="8"/>
  <c r="N54" i="8" s="1"/>
  <c r="K28" i="8"/>
  <c r="K49" i="8" s="1"/>
  <c r="J28" i="8"/>
  <c r="J49" i="8" s="1"/>
  <c r="I28" i="8"/>
  <c r="I49" i="8" s="1"/>
  <c r="R28" i="8"/>
  <c r="R49" i="8" s="1"/>
  <c r="Q28" i="8"/>
  <c r="Q49" i="8" s="1"/>
  <c r="M28" i="8"/>
  <c r="M49" i="8" s="1"/>
  <c r="P28" i="8"/>
  <c r="P49" i="8" s="1"/>
  <c r="O28" i="8"/>
  <c r="O49" i="8" s="1"/>
  <c r="L28" i="8"/>
  <c r="L49" i="8" s="1"/>
  <c r="N28" i="8"/>
  <c r="N49" i="8" s="1"/>
  <c r="K24" i="8"/>
  <c r="K45" i="8" s="1"/>
  <c r="J24" i="8"/>
  <c r="J45" i="8" s="1"/>
  <c r="I24" i="8"/>
  <c r="I45" i="8" s="1"/>
  <c r="M24" i="8"/>
  <c r="M45" i="8" s="1"/>
  <c r="L24" i="8"/>
  <c r="L45" i="8" s="1"/>
  <c r="N24" i="8"/>
  <c r="N45" i="8" s="1"/>
  <c r="Q30" i="8"/>
  <c r="Q51" i="8" s="1"/>
  <c r="P30" i="8"/>
  <c r="P51" i="8" s="1"/>
  <c r="O30" i="8"/>
  <c r="O51" i="8" s="1"/>
  <c r="N30" i="8"/>
  <c r="N51" i="8" s="1"/>
  <c r="S30" i="8"/>
  <c r="S51" i="8" s="1"/>
  <c r="R30" i="8"/>
  <c r="R51" i="8" s="1"/>
  <c r="M30" i="8"/>
  <c r="M51" i="8" s="1"/>
  <c r="L30" i="8"/>
  <c r="L51" i="8" s="1"/>
  <c r="K30" i="8"/>
  <c r="K51" i="8" s="1"/>
  <c r="J30" i="8"/>
  <c r="J51" i="8" s="1"/>
  <c r="I30" i="8"/>
  <c r="I51" i="8" s="1"/>
  <c r="T30" i="8"/>
  <c r="T51" i="8" s="1"/>
  <c r="O29" i="8"/>
  <c r="O50" i="8" s="1"/>
  <c r="N29" i="8"/>
  <c r="N50" i="8" s="1"/>
  <c r="M29" i="8"/>
  <c r="M50" i="8" s="1"/>
  <c r="L29" i="8"/>
  <c r="L50" i="8" s="1"/>
  <c r="S29" i="8"/>
  <c r="S50" i="8" s="1"/>
  <c r="R29" i="8"/>
  <c r="R50" i="8" s="1"/>
  <c r="Q29" i="8"/>
  <c r="Q50" i="8" s="1"/>
  <c r="P29" i="8"/>
  <c r="P50" i="8" s="1"/>
  <c r="I29" i="8"/>
  <c r="I50" i="8" s="1"/>
  <c r="K29" i="8"/>
  <c r="K50" i="8" s="1"/>
  <c r="J29" i="8"/>
  <c r="J50" i="8" s="1"/>
  <c r="K25" i="8"/>
  <c r="K46" i="8" s="1"/>
  <c r="J25" i="8"/>
  <c r="J46" i="8" s="1"/>
  <c r="I25" i="8"/>
  <c r="I46" i="8" s="1"/>
  <c r="O25" i="8"/>
  <c r="O46" i="8" s="1"/>
  <c r="N25" i="8"/>
  <c r="N46" i="8" s="1"/>
  <c r="M25" i="8"/>
  <c r="M46" i="8" s="1"/>
  <c r="L25" i="8"/>
  <c r="L46" i="8" s="1"/>
  <c r="K22" i="8"/>
  <c r="K43" i="8" s="1"/>
  <c r="J22" i="8"/>
  <c r="J43" i="8" s="1"/>
  <c r="I22" i="8"/>
  <c r="I43" i="8" s="1"/>
  <c r="L22" i="8"/>
  <c r="L43" i="8" s="1"/>
  <c r="I26" i="8"/>
  <c r="I47" i="8" s="1"/>
  <c r="P26" i="8"/>
  <c r="P47" i="8" s="1"/>
  <c r="O26" i="8"/>
  <c r="O47" i="8" s="1"/>
  <c r="N26" i="8"/>
  <c r="N47" i="8" s="1"/>
  <c r="J26" i="8"/>
  <c r="J47" i="8" s="1"/>
  <c r="M26" i="8"/>
  <c r="M47" i="8" s="1"/>
  <c r="L26" i="8"/>
  <c r="L47" i="8" s="1"/>
  <c r="K26" i="8"/>
  <c r="K47" i="8" s="1"/>
  <c r="Q31" i="8"/>
  <c r="Q52" i="8" s="1"/>
  <c r="P31" i="8"/>
  <c r="P52" i="8" s="1"/>
  <c r="O31" i="8"/>
  <c r="O52" i="8" s="1"/>
  <c r="N31" i="8"/>
  <c r="N52" i="8" s="1"/>
  <c r="K31" i="8"/>
  <c r="K52" i="8" s="1"/>
  <c r="J31" i="8"/>
  <c r="J52" i="8" s="1"/>
  <c r="I31" i="8"/>
  <c r="I52" i="8" s="1"/>
  <c r="R31" i="8"/>
  <c r="R52" i="8" s="1"/>
  <c r="U31" i="8"/>
  <c r="U52" i="8" s="1"/>
  <c r="M31" i="8"/>
  <c r="M52" i="8" s="1"/>
  <c r="T31" i="8"/>
  <c r="T52" i="8" s="1"/>
  <c r="S31" i="8"/>
  <c r="S52" i="8" s="1"/>
  <c r="L31" i="8"/>
  <c r="L52" i="8" s="1"/>
  <c r="K32" i="4"/>
  <c r="K53" i="4" s="1"/>
  <c r="L32" i="4"/>
  <c r="L53" i="4" s="1"/>
  <c r="I32" i="4"/>
  <c r="I53" i="4" s="1"/>
  <c r="J32" i="4"/>
  <c r="J53" i="4" s="1"/>
  <c r="J38" i="4"/>
  <c r="J59" i="4" s="1"/>
  <c r="K38" i="4"/>
  <c r="K59" i="4" s="1"/>
  <c r="L38" i="4"/>
  <c r="L59" i="4" s="1"/>
  <c r="N38" i="4"/>
  <c r="N59" i="4" s="1"/>
  <c r="O38" i="4"/>
  <c r="O59" i="4" s="1"/>
  <c r="I38" i="4"/>
  <c r="I59" i="4" s="1"/>
  <c r="P38" i="4"/>
  <c r="P59" i="4" s="1"/>
  <c r="Q38" i="4"/>
  <c r="Q59" i="4" s="1"/>
  <c r="R38" i="4"/>
  <c r="R59" i="4" s="1"/>
  <c r="M38" i="4"/>
  <c r="M59" i="4" s="1"/>
  <c r="K34" i="4"/>
  <c r="K55" i="4" s="1"/>
  <c r="I34" i="4"/>
  <c r="I55" i="4" s="1"/>
  <c r="L34" i="4"/>
  <c r="L55" i="4" s="1"/>
  <c r="N34" i="4"/>
  <c r="N55" i="4" s="1"/>
  <c r="J34" i="4"/>
  <c r="J55" i="4" s="1"/>
  <c r="M34" i="4"/>
  <c r="M55" i="4" s="1"/>
  <c r="N35" i="4"/>
  <c r="N56" i="4" s="1"/>
  <c r="O35" i="4"/>
  <c r="O56" i="4" s="1"/>
  <c r="I35" i="4"/>
  <c r="I56" i="4" s="1"/>
  <c r="J35" i="4"/>
  <c r="J56" i="4" s="1"/>
  <c r="K35" i="4"/>
  <c r="K56" i="4" s="1"/>
  <c r="L35" i="4"/>
  <c r="L56" i="4" s="1"/>
  <c r="M35" i="4"/>
  <c r="M56" i="4" s="1"/>
  <c r="J33" i="4"/>
  <c r="J54" i="4" s="1"/>
  <c r="K33" i="4"/>
  <c r="K54" i="4" s="1"/>
  <c r="L33" i="4"/>
  <c r="L54" i="4" s="1"/>
  <c r="M33" i="4"/>
  <c r="M54" i="4" s="1"/>
  <c r="I33" i="4"/>
  <c r="I54" i="4" s="1"/>
  <c r="K43" i="4"/>
  <c r="K64" i="4" s="1"/>
  <c r="W43" i="4"/>
  <c r="W64" i="4" s="1"/>
  <c r="L43" i="4"/>
  <c r="L64" i="4" s="1"/>
  <c r="M43" i="4"/>
  <c r="M64" i="4" s="1"/>
  <c r="N43" i="4"/>
  <c r="N64" i="4" s="1"/>
  <c r="O43" i="4"/>
  <c r="O64" i="4" s="1"/>
  <c r="P43" i="4"/>
  <c r="P64" i="4" s="1"/>
  <c r="J43" i="4"/>
  <c r="J64" i="4" s="1"/>
  <c r="Q43" i="4"/>
  <c r="Q64" i="4" s="1"/>
  <c r="V43" i="4"/>
  <c r="V64" i="4" s="1"/>
  <c r="R43" i="4"/>
  <c r="R64" i="4" s="1"/>
  <c r="S43" i="4"/>
  <c r="S64" i="4" s="1"/>
  <c r="T43" i="4"/>
  <c r="T64" i="4" s="1"/>
  <c r="I43" i="4"/>
  <c r="I64" i="4" s="1"/>
  <c r="U43" i="4"/>
  <c r="U64" i="4" s="1"/>
  <c r="J31" i="4"/>
  <c r="J52" i="4" s="1"/>
  <c r="K31" i="4"/>
  <c r="K52" i="4" s="1"/>
  <c r="I31" i="4"/>
  <c r="I52" i="4" s="1"/>
  <c r="M37" i="4"/>
  <c r="M58" i="4" s="1"/>
  <c r="P37" i="4"/>
  <c r="P58" i="4" s="1"/>
  <c r="N37" i="4"/>
  <c r="N58" i="4" s="1"/>
  <c r="O37" i="4"/>
  <c r="O58" i="4" s="1"/>
  <c r="Q37" i="4"/>
  <c r="Q58" i="4" s="1"/>
  <c r="I37" i="4"/>
  <c r="I58" i="4" s="1"/>
  <c r="J37" i="4"/>
  <c r="J58" i="4" s="1"/>
  <c r="K37" i="4"/>
  <c r="K58" i="4" s="1"/>
  <c r="L37" i="4"/>
  <c r="L58" i="4" s="1"/>
  <c r="J39" i="4"/>
  <c r="J60" i="4" s="1"/>
  <c r="L39" i="4"/>
  <c r="L60" i="4" s="1"/>
  <c r="M39" i="4"/>
  <c r="M60" i="4" s="1"/>
  <c r="N39" i="4"/>
  <c r="N60" i="4" s="1"/>
  <c r="I39" i="4"/>
  <c r="I60" i="4" s="1"/>
  <c r="O39" i="4"/>
  <c r="O60" i="4" s="1"/>
  <c r="K39" i="4"/>
  <c r="K60" i="4" s="1"/>
  <c r="P39" i="4"/>
  <c r="P60" i="4" s="1"/>
  <c r="Q39" i="4"/>
  <c r="Q60" i="4" s="1"/>
  <c r="R39" i="4"/>
  <c r="R60" i="4" s="1"/>
  <c r="S39" i="4"/>
  <c r="S60" i="4" s="1"/>
  <c r="T42" i="4"/>
  <c r="T63" i="4" s="1"/>
  <c r="U42" i="4"/>
  <c r="U63" i="4" s="1"/>
  <c r="K42" i="4"/>
  <c r="K63" i="4" s="1"/>
  <c r="J42" i="4"/>
  <c r="J63" i="4" s="1"/>
  <c r="V42" i="4"/>
  <c r="V63" i="4" s="1"/>
  <c r="L42" i="4"/>
  <c r="L63" i="4" s="1"/>
  <c r="M42" i="4"/>
  <c r="M63" i="4" s="1"/>
  <c r="N42" i="4"/>
  <c r="N63" i="4" s="1"/>
  <c r="I42" i="4"/>
  <c r="I63" i="4" s="1"/>
  <c r="R42" i="4"/>
  <c r="R63" i="4" s="1"/>
  <c r="O42" i="4"/>
  <c r="O63" i="4" s="1"/>
  <c r="S42" i="4"/>
  <c r="S63" i="4" s="1"/>
  <c r="P42" i="4"/>
  <c r="P63" i="4" s="1"/>
  <c r="Q42" i="4"/>
  <c r="Q63" i="4" s="1"/>
  <c r="I36" i="4"/>
  <c r="I57" i="4" s="1"/>
  <c r="J36" i="4"/>
  <c r="J57" i="4" s="1"/>
  <c r="K36" i="4"/>
  <c r="K57" i="4" s="1"/>
  <c r="L36" i="4"/>
  <c r="L57" i="4" s="1"/>
  <c r="P36" i="4"/>
  <c r="P57" i="4" s="1"/>
  <c r="M36" i="4"/>
  <c r="M57" i="4" s="1"/>
  <c r="N36" i="4"/>
  <c r="N57" i="4" s="1"/>
  <c r="O36" i="4"/>
  <c r="O57" i="4" s="1"/>
  <c r="J30" i="4"/>
  <c r="J51" i="4" s="1"/>
  <c r="I30" i="4"/>
  <c r="I51" i="4" s="1"/>
  <c r="T41" i="4"/>
  <c r="T62" i="4" s="1"/>
  <c r="U41" i="4"/>
  <c r="U62" i="4" s="1"/>
  <c r="J41" i="4"/>
  <c r="J62" i="4" s="1"/>
  <c r="K41" i="4"/>
  <c r="K62" i="4" s="1"/>
  <c r="L41" i="4"/>
  <c r="L62" i="4" s="1"/>
  <c r="M41" i="4"/>
  <c r="M62" i="4" s="1"/>
  <c r="P41" i="4"/>
  <c r="P62" i="4" s="1"/>
  <c r="N41" i="4"/>
  <c r="N62" i="4" s="1"/>
  <c r="R41" i="4"/>
  <c r="R62" i="4" s="1"/>
  <c r="O41" i="4"/>
  <c r="O62" i="4" s="1"/>
  <c r="I41" i="4"/>
  <c r="I62" i="4" s="1"/>
  <c r="Q41" i="4"/>
  <c r="Q62" i="4" s="1"/>
  <c r="S41" i="4"/>
  <c r="S62" i="4" s="1"/>
  <c r="H48" i="4"/>
  <c r="AL42" i="4"/>
  <c r="AL63" i="4" s="1"/>
  <c r="AK42" i="4"/>
  <c r="AK63" i="4" s="1"/>
  <c r="AC42" i="4"/>
  <c r="AC63" i="4" s="1"/>
  <c r="AM42" i="4"/>
  <c r="AM63" i="4" s="1"/>
  <c r="AJ42" i="4"/>
  <c r="AJ63" i="4" s="1"/>
  <c r="AN42" i="4"/>
  <c r="AN63" i="4" s="1"/>
  <c r="AO42" i="4"/>
  <c r="AO63" i="4" s="1"/>
  <c r="AD42" i="4"/>
  <c r="AD63" i="4" s="1"/>
  <c r="AP42" i="4"/>
  <c r="AP63" i="4" s="1"/>
  <c r="AE42" i="4"/>
  <c r="AE63" i="4" s="1"/>
  <c r="AF42" i="4"/>
  <c r="AF63" i="4" s="1"/>
  <c r="AI42" i="4"/>
  <c r="AI63" i="4" s="1"/>
  <c r="AG42" i="4"/>
  <c r="AG63" i="4" s="1"/>
  <c r="AH42" i="4"/>
  <c r="AH63" i="4" s="1"/>
  <c r="AA36" i="4"/>
  <c r="AA35" i="4"/>
  <c r="AA37" i="4"/>
  <c r="AB48" i="4" s="1"/>
  <c r="AA38" i="4"/>
  <c r="AA39" i="4"/>
  <c r="AA31" i="4"/>
  <c r="AA40" i="4"/>
  <c r="AA43" i="4"/>
  <c r="AA33" i="4"/>
  <c r="AA29" i="4"/>
  <c r="AC29" i="4" s="1"/>
  <c r="AA28" i="4"/>
  <c r="AA41" i="4"/>
  <c r="AA32" i="4"/>
  <c r="AA30" i="4"/>
  <c r="AA34" i="4"/>
  <c r="AA63" i="4"/>
  <c r="AA51" i="4"/>
  <c r="AA62" i="4"/>
  <c r="AA50" i="4"/>
  <c r="AA61" i="4"/>
  <c r="AA49" i="4"/>
  <c r="AA60" i="4"/>
  <c r="AA53" i="4"/>
  <c r="AA64" i="4"/>
  <c r="AA59" i="4"/>
  <c r="AA58" i="4"/>
  <c r="AA57" i="4"/>
  <c r="AA56" i="4"/>
  <c r="AA54" i="4"/>
  <c r="AA55" i="4"/>
  <c r="AA52" i="4"/>
  <c r="AC50" i="4" l="1"/>
  <c r="U62" i="8"/>
  <c r="U65" i="8"/>
  <c r="U64" i="8"/>
  <c r="H80" i="9"/>
  <c r="H81" i="9" s="1"/>
  <c r="AI28" i="8"/>
  <c r="AI49" i="8" s="1"/>
  <c r="AA32" i="8"/>
  <c r="AN32" i="8" s="1"/>
  <c r="AN53" i="8" s="1"/>
  <c r="H39" i="8" a="1"/>
  <c r="H39" i="8" s="1"/>
  <c r="AA51" i="8"/>
  <c r="AA44" i="8"/>
  <c r="AA33" i="8"/>
  <c r="AQ33" i="8" s="1"/>
  <c r="AQ54" i="8" s="1"/>
  <c r="W69" i="8" s="1"/>
  <c r="AE28" i="8"/>
  <c r="AE49" i="8" s="1"/>
  <c r="AA42" i="8"/>
  <c r="AA50" i="8"/>
  <c r="AA49" i="8"/>
  <c r="AA24" i="8"/>
  <c r="AE24" i="8" s="1"/>
  <c r="AE45" i="8" s="1"/>
  <c r="AH28" i="8"/>
  <c r="AH49" i="8" s="1"/>
  <c r="AA18" i="8"/>
  <c r="AA52" i="8"/>
  <c r="AA41" i="8"/>
  <c r="AA54" i="8"/>
  <c r="AK28" i="8"/>
  <c r="AK49" i="8" s="1"/>
  <c r="AK33" i="8"/>
  <c r="AK54" i="8" s="1"/>
  <c r="AA48" i="8"/>
  <c r="AA27" i="8"/>
  <c r="AJ27" i="8" s="1"/>
  <c r="AJ48" i="8" s="1"/>
  <c r="AL28" i="8"/>
  <c r="AL49" i="8" s="1"/>
  <c r="R69" i="8" s="1"/>
  <c r="AA46" i="8"/>
  <c r="AC28" i="8"/>
  <c r="AC49" i="8" s="1"/>
  <c r="AA40" i="8"/>
  <c r="AA45" i="8"/>
  <c r="AA47" i="8"/>
  <c r="AA19" i="8"/>
  <c r="AC19" i="8" s="1"/>
  <c r="AA26" i="8"/>
  <c r="AH26" i="8" s="1"/>
  <c r="AH47" i="8" s="1"/>
  <c r="AA43" i="8"/>
  <c r="AA53" i="8"/>
  <c r="AJ28" i="8"/>
  <c r="AJ49" i="8" s="1"/>
  <c r="AC33" i="8"/>
  <c r="AC54" i="8" s="1"/>
  <c r="AA25" i="8"/>
  <c r="AC25" i="8" s="1"/>
  <c r="AC46" i="8" s="1"/>
  <c r="AA22" i="8"/>
  <c r="AF22" i="8" s="1"/>
  <c r="AF43" i="8" s="1"/>
  <c r="L69" i="8" s="1"/>
  <c r="L64" i="8"/>
  <c r="L61" i="8"/>
  <c r="L66" i="8"/>
  <c r="L63" i="8"/>
  <c r="L65" i="8"/>
  <c r="L62" i="8"/>
  <c r="AB39" i="8" a="1"/>
  <c r="AH33" i="8"/>
  <c r="AH54" i="8" s="1"/>
  <c r="AB18" i="8" a="1"/>
  <c r="AI33" i="8"/>
  <c r="AI54" i="8" s="1"/>
  <c r="AA21" i="8"/>
  <c r="AC21" i="8" s="1"/>
  <c r="AC42" i="8" s="1"/>
  <c r="K61" i="8"/>
  <c r="K64" i="8"/>
  <c r="K66" i="8"/>
  <c r="K63" i="8"/>
  <c r="K65" i="8"/>
  <c r="K62" i="8"/>
  <c r="H64" i="8"/>
  <c r="H66" i="8"/>
  <c r="H63" i="8"/>
  <c r="H65" i="8"/>
  <c r="H62" i="8"/>
  <c r="AD28" i="8"/>
  <c r="AD49" i="8" s="1"/>
  <c r="AA31" i="8"/>
  <c r="AM31" i="8" s="1"/>
  <c r="AM52" i="8" s="1"/>
  <c r="AA29" i="8"/>
  <c r="AC29" i="8" s="1"/>
  <c r="AC50" i="8" s="1"/>
  <c r="R66" i="8"/>
  <c r="R63" i="8"/>
  <c r="R65" i="8"/>
  <c r="R62" i="8"/>
  <c r="R64" i="8"/>
  <c r="R61" i="8"/>
  <c r="W64" i="8"/>
  <c r="W61" i="8"/>
  <c r="W66" i="8"/>
  <c r="W63" i="8"/>
  <c r="W65" i="8"/>
  <c r="W62" i="8"/>
  <c r="AF28" i="8"/>
  <c r="AF49" i="8" s="1"/>
  <c r="AA23" i="8"/>
  <c r="AC23" i="8" s="1"/>
  <c r="AC44" i="8" s="1"/>
  <c r="AA30" i="8"/>
  <c r="H18" i="8" a="1"/>
  <c r="H25" i="8" s="1"/>
  <c r="AA20" i="8"/>
  <c r="AC20" i="8" s="1"/>
  <c r="AI32" i="8"/>
  <c r="AI53" i="8" s="1"/>
  <c r="AC32" i="8"/>
  <c r="AC53" i="8" s="1"/>
  <c r="AJ32" i="8"/>
  <c r="AJ53" i="8" s="1"/>
  <c r="AE32" i="8"/>
  <c r="AE53" i="8" s="1"/>
  <c r="I42" i="8"/>
  <c r="J42" i="8"/>
  <c r="K42" i="8"/>
  <c r="AD33" i="4"/>
  <c r="AD54" i="4" s="1"/>
  <c r="AE33" i="4"/>
  <c r="AE54" i="4" s="1"/>
  <c r="AC33" i="4"/>
  <c r="AC54" i="4" s="1"/>
  <c r="AF33" i="4"/>
  <c r="AF54" i="4" s="1"/>
  <c r="AG33" i="4"/>
  <c r="AG54" i="4" s="1"/>
  <c r="AK40" i="4"/>
  <c r="AK61" i="4" s="1"/>
  <c r="AH40" i="4"/>
  <c r="AH61" i="4" s="1"/>
  <c r="AL40" i="4"/>
  <c r="AL61" i="4" s="1"/>
  <c r="AM40" i="4"/>
  <c r="AM61" i="4" s="1"/>
  <c r="AN40" i="4"/>
  <c r="AN61" i="4" s="1"/>
  <c r="AD40" i="4"/>
  <c r="AD61" i="4" s="1"/>
  <c r="AE40" i="4"/>
  <c r="AE61" i="4" s="1"/>
  <c r="AJ40" i="4"/>
  <c r="AJ61" i="4" s="1"/>
  <c r="AF40" i="4"/>
  <c r="AF61" i="4" s="1"/>
  <c r="AG40" i="4"/>
  <c r="AG61" i="4" s="1"/>
  <c r="AC40" i="4"/>
  <c r="AC61" i="4" s="1"/>
  <c r="AI40" i="4"/>
  <c r="AI61" i="4" s="1"/>
  <c r="AC31" i="4"/>
  <c r="AC52" i="4" s="1"/>
  <c r="AE31" i="4"/>
  <c r="AE52" i="4" s="1"/>
  <c r="AD31" i="4"/>
  <c r="AD52" i="4" s="1"/>
  <c r="AL39" i="4"/>
  <c r="AL60" i="4" s="1"/>
  <c r="AJ39" i="4"/>
  <c r="AJ60" i="4" s="1"/>
  <c r="AK39" i="4"/>
  <c r="AK60" i="4" s="1"/>
  <c r="AM39" i="4"/>
  <c r="AM60" i="4" s="1"/>
  <c r="AD39" i="4"/>
  <c r="AD60" i="4" s="1"/>
  <c r="AE39" i="4"/>
  <c r="AE60" i="4" s="1"/>
  <c r="AF39" i="4"/>
  <c r="AF60" i="4" s="1"/>
  <c r="AG39" i="4"/>
  <c r="AG60" i="4" s="1"/>
  <c r="AI39" i="4"/>
  <c r="AI60" i="4" s="1"/>
  <c r="AH39" i="4"/>
  <c r="AH60" i="4" s="1"/>
  <c r="AC39" i="4"/>
  <c r="AC60" i="4" s="1"/>
  <c r="AH34" i="4"/>
  <c r="AH55" i="4" s="1"/>
  <c r="AG34" i="4"/>
  <c r="AG55" i="4" s="1"/>
  <c r="AC34" i="4"/>
  <c r="AC55" i="4" s="1"/>
  <c r="AE34" i="4"/>
  <c r="AE55" i="4" s="1"/>
  <c r="AD34" i="4"/>
  <c r="AD55" i="4" s="1"/>
  <c r="AF34" i="4"/>
  <c r="AF55" i="4" s="1"/>
  <c r="AD38" i="4"/>
  <c r="AD59" i="4" s="1"/>
  <c r="AE38" i="4"/>
  <c r="AE59" i="4" s="1"/>
  <c r="AF38" i="4"/>
  <c r="AF59" i="4" s="1"/>
  <c r="AG38" i="4"/>
  <c r="AG59" i="4" s="1"/>
  <c r="AL38" i="4"/>
  <c r="AL59" i="4" s="1"/>
  <c r="AH38" i="4"/>
  <c r="AH59" i="4" s="1"/>
  <c r="AI38" i="4"/>
  <c r="AI59" i="4" s="1"/>
  <c r="AC38" i="4"/>
  <c r="AC59" i="4" s="1"/>
  <c r="AJ38" i="4"/>
  <c r="AJ59" i="4" s="1"/>
  <c r="AK38" i="4"/>
  <c r="AK59" i="4" s="1"/>
  <c r="AD30" i="4"/>
  <c r="AD51" i="4" s="1"/>
  <c r="AC30" i="4"/>
  <c r="AC51" i="4" s="1"/>
  <c r="AD35" i="4"/>
  <c r="AD56" i="4" s="1"/>
  <c r="AE35" i="4"/>
  <c r="AE56" i="4" s="1"/>
  <c r="AF35" i="4"/>
  <c r="AF56" i="4" s="1"/>
  <c r="AC35" i="4"/>
  <c r="AC56" i="4" s="1"/>
  <c r="AG35" i="4"/>
  <c r="AG56" i="4" s="1"/>
  <c r="AH35" i="4"/>
  <c r="AH56" i="4" s="1"/>
  <c r="AI35" i="4"/>
  <c r="AI56" i="4" s="1"/>
  <c r="AN43" i="4"/>
  <c r="AN64" i="4" s="1"/>
  <c r="AC43" i="4"/>
  <c r="AC64" i="4" s="1"/>
  <c r="AO43" i="4"/>
  <c r="AO64" i="4" s="1"/>
  <c r="AD43" i="4"/>
  <c r="AD64" i="4" s="1"/>
  <c r="AP43" i="4"/>
  <c r="AP64" i="4" s="1"/>
  <c r="AE43" i="4"/>
  <c r="AE64" i="4" s="1"/>
  <c r="AQ43" i="4"/>
  <c r="AQ64" i="4" s="1"/>
  <c r="AF43" i="4"/>
  <c r="AF64" i="4" s="1"/>
  <c r="AL43" i="4"/>
  <c r="AL64" i="4" s="1"/>
  <c r="AM43" i="4"/>
  <c r="AM64" i="4" s="1"/>
  <c r="AG43" i="4"/>
  <c r="AG64" i="4" s="1"/>
  <c r="AH43" i="4"/>
  <c r="AH64" i="4" s="1"/>
  <c r="AI43" i="4"/>
  <c r="AI64" i="4" s="1"/>
  <c r="AJ43" i="4"/>
  <c r="AJ64" i="4" s="1"/>
  <c r="AK43" i="4"/>
  <c r="AK64" i="4" s="1"/>
  <c r="AE37" i="4"/>
  <c r="AE58" i="4" s="1"/>
  <c r="AF37" i="4"/>
  <c r="AF58" i="4" s="1"/>
  <c r="AD37" i="4"/>
  <c r="AD58" i="4" s="1"/>
  <c r="AG37" i="4"/>
  <c r="AG58" i="4" s="1"/>
  <c r="AH37" i="4"/>
  <c r="AH58" i="4" s="1"/>
  <c r="AI37" i="4"/>
  <c r="AI58" i="4" s="1"/>
  <c r="AJ37" i="4"/>
  <c r="AJ58" i="4" s="1"/>
  <c r="AK37" i="4"/>
  <c r="AK58" i="4" s="1"/>
  <c r="AC37" i="4"/>
  <c r="AC58" i="4" s="1"/>
  <c r="AC32" i="4"/>
  <c r="AC53" i="4" s="1"/>
  <c r="AD32" i="4"/>
  <c r="AD53" i="4" s="1"/>
  <c r="AE32" i="4"/>
  <c r="AE53" i="4" s="1"/>
  <c r="AF32" i="4"/>
  <c r="AF53" i="4" s="1"/>
  <c r="AI36" i="4"/>
  <c r="AI57" i="4" s="1"/>
  <c r="AJ36" i="4"/>
  <c r="AJ57" i="4" s="1"/>
  <c r="AF36" i="4"/>
  <c r="AF57" i="4" s="1"/>
  <c r="AH36" i="4"/>
  <c r="AH57" i="4" s="1"/>
  <c r="AC36" i="4"/>
  <c r="AC57" i="4" s="1"/>
  <c r="AD36" i="4"/>
  <c r="AD57" i="4" s="1"/>
  <c r="AG36" i="4"/>
  <c r="AG57" i="4" s="1"/>
  <c r="AE36" i="4"/>
  <c r="AE57" i="4" s="1"/>
  <c r="AK41" i="4"/>
  <c r="AK62" i="4" s="1"/>
  <c r="AL41" i="4"/>
  <c r="AL62" i="4" s="1"/>
  <c r="AC41" i="4"/>
  <c r="AC62" i="4" s="1"/>
  <c r="AM41" i="4"/>
  <c r="AM62" i="4" s="1"/>
  <c r="AN41" i="4"/>
  <c r="AN62" i="4" s="1"/>
  <c r="AJ41" i="4"/>
  <c r="AJ62" i="4" s="1"/>
  <c r="AO41" i="4"/>
  <c r="AO62" i="4" s="1"/>
  <c r="AH41" i="4"/>
  <c r="AH62" i="4" s="1"/>
  <c r="AD41" i="4"/>
  <c r="AD62" i="4" s="1"/>
  <c r="AE41" i="4"/>
  <c r="AE62" i="4" s="1"/>
  <c r="AF41" i="4"/>
  <c r="AF62" i="4" s="1"/>
  <c r="AI41" i="4"/>
  <c r="AI62" i="4" s="1"/>
  <c r="AG41" i="4"/>
  <c r="AG62" i="4" s="1"/>
  <c r="H69" i="4" l="1" a="1"/>
  <c r="H69" i="4" s="1"/>
  <c r="H71" i="4" s="1"/>
  <c r="H72" i="4" s="1"/>
  <c r="AK32" i="8"/>
  <c r="AK53" i="8" s="1"/>
  <c r="H52" i="8"/>
  <c r="H50" i="8"/>
  <c r="H53" i="8"/>
  <c r="H51" i="8"/>
  <c r="H54" i="8"/>
  <c r="H40" i="8"/>
  <c r="I40" i="8" s="1"/>
  <c r="H45" i="8"/>
  <c r="H43" i="8"/>
  <c r="H48" i="8"/>
  <c r="H47" i="8"/>
  <c r="H44" i="8"/>
  <c r="H46" i="8"/>
  <c r="H41" i="8"/>
  <c r="H49" i="8"/>
  <c r="AF32" i="8"/>
  <c r="AF53" i="8" s="1"/>
  <c r="H42" i="8"/>
  <c r="AD32" i="8"/>
  <c r="AD53" i="8" s="1"/>
  <c r="AM32" i="8"/>
  <c r="AM53" i="8" s="1"/>
  <c r="AL32" i="8"/>
  <c r="AL53" i="8" s="1"/>
  <c r="AG33" i="8"/>
  <c r="AG54" i="8" s="1"/>
  <c r="AF26" i="8"/>
  <c r="AF47" i="8" s="1"/>
  <c r="AG32" i="8"/>
  <c r="AG53" i="8" s="1"/>
  <c r="AJ33" i="8"/>
  <c r="AJ54" i="8" s="1"/>
  <c r="AN33" i="8"/>
  <c r="AN54" i="8" s="1"/>
  <c r="AP33" i="8"/>
  <c r="AP54" i="8" s="1"/>
  <c r="AP32" i="8"/>
  <c r="AP53" i="8" s="1"/>
  <c r="V69" i="8" s="1"/>
  <c r="V76" i="8" s="1"/>
  <c r="V77" i="8" s="1"/>
  <c r="AH32" i="8"/>
  <c r="AH53" i="8" s="1"/>
  <c r="AO32" i="8"/>
  <c r="AO53" i="8" s="1"/>
  <c r="R76" i="8"/>
  <c r="R77" i="8" s="1"/>
  <c r="AD24" i="8"/>
  <c r="AD45" i="8" s="1"/>
  <c r="AF27" i="8"/>
  <c r="AF48" i="8" s="1"/>
  <c r="AE27" i="8"/>
  <c r="AE48" i="8" s="1"/>
  <c r="AE33" i="8"/>
  <c r="AE54" i="8" s="1"/>
  <c r="AM33" i="8"/>
  <c r="AM54" i="8" s="1"/>
  <c r="AG24" i="8"/>
  <c r="AG45" i="8" s="1"/>
  <c r="AH24" i="8"/>
  <c r="AH45" i="8" s="1"/>
  <c r="N69" i="8" s="1"/>
  <c r="N76" i="8" s="1"/>
  <c r="N77" i="8" s="1"/>
  <c r="AO33" i="8"/>
  <c r="AO54" i="8" s="1"/>
  <c r="AC24" i="8"/>
  <c r="AC45" i="8" s="1"/>
  <c r="AD27" i="8"/>
  <c r="AD48" i="8" s="1"/>
  <c r="AD26" i="8"/>
  <c r="AD47" i="8" s="1"/>
  <c r="AL33" i="8"/>
  <c r="AL54" i="8" s="1"/>
  <c r="AD33" i="8"/>
  <c r="AD54" i="8" s="1"/>
  <c r="W76" i="8"/>
  <c r="W77" i="8" s="1"/>
  <c r="L76" i="8"/>
  <c r="L77" i="8" s="1"/>
  <c r="AF33" i="8"/>
  <c r="AF54" i="8" s="1"/>
  <c r="H20" i="8"/>
  <c r="AF24" i="8"/>
  <c r="AF45" i="8" s="1"/>
  <c r="H19" i="8"/>
  <c r="H21" i="8"/>
  <c r="AE26" i="8"/>
  <c r="AE47" i="8" s="1"/>
  <c r="AI31" i="8"/>
  <c r="AI52" i="8" s="1"/>
  <c r="AJ26" i="8"/>
  <c r="AJ47" i="8" s="1"/>
  <c r="P69" i="8" s="1"/>
  <c r="P76" i="8" s="1"/>
  <c r="P77" i="8" s="1"/>
  <c r="AG26" i="8"/>
  <c r="AG47" i="8" s="1"/>
  <c r="AB38" i="8"/>
  <c r="AC27" i="8"/>
  <c r="AC48" i="8" s="1"/>
  <c r="AI26" i="8"/>
  <c r="AI47" i="8" s="1"/>
  <c r="AH27" i="8"/>
  <c r="AH48" i="8" s="1"/>
  <c r="AF25" i="8"/>
  <c r="AF46" i="8" s="1"/>
  <c r="AK27" i="8"/>
  <c r="AK48" i="8" s="1"/>
  <c r="Q69" i="8" s="1"/>
  <c r="Q76" i="8" s="1"/>
  <c r="Q77" i="8" s="1"/>
  <c r="AE25" i="8"/>
  <c r="AE46" i="8" s="1"/>
  <c r="AE22" i="8"/>
  <c r="AE43" i="8" s="1"/>
  <c r="AC31" i="8"/>
  <c r="AC52" i="8" s="1"/>
  <c r="AI27" i="8"/>
  <c r="AI48" i="8" s="1"/>
  <c r="AC26" i="8"/>
  <c r="AC47" i="8" s="1"/>
  <c r="AN31" i="8"/>
  <c r="AN52" i="8" s="1"/>
  <c r="AG27" i="8"/>
  <c r="AG48" i="8" s="1"/>
  <c r="AC22" i="8"/>
  <c r="AC43" i="8" s="1"/>
  <c r="AD22" i="8"/>
  <c r="AD43" i="8" s="1"/>
  <c r="AD23" i="8"/>
  <c r="AD44" i="8" s="1"/>
  <c r="AK29" i="8"/>
  <c r="AK50" i="8" s="1"/>
  <c r="AH25" i="8"/>
  <c r="AH46" i="8" s="1"/>
  <c r="AI25" i="8"/>
  <c r="AI46" i="8" s="1"/>
  <c r="O69" i="8" s="1"/>
  <c r="O76" i="8" s="1"/>
  <c r="O77" i="8" s="1"/>
  <c r="AD25" i="8"/>
  <c r="AD46" i="8" s="1"/>
  <c r="AG25" i="8"/>
  <c r="AG46" i="8" s="1"/>
  <c r="AD20" i="8"/>
  <c r="AD41" i="8" s="1"/>
  <c r="J69" i="8" s="1"/>
  <c r="J71" i="8" s="1"/>
  <c r="H29" i="8"/>
  <c r="H28" i="8"/>
  <c r="H27" i="8"/>
  <c r="H30" i="8"/>
  <c r="H31" i="8"/>
  <c r="H26" i="8"/>
  <c r="H32" i="8"/>
  <c r="AB32" i="8"/>
  <c r="AB31" i="8"/>
  <c r="AB26" i="8"/>
  <c r="AB24" i="8"/>
  <c r="AB25" i="8"/>
  <c r="AB19" i="8"/>
  <c r="AB23" i="8"/>
  <c r="AB30" i="8"/>
  <c r="AB21" i="8"/>
  <c r="AB22" i="8"/>
  <c r="AB18" i="8"/>
  <c r="AB29" i="8"/>
  <c r="AB20" i="8"/>
  <c r="AB28" i="8"/>
  <c r="AB33" i="8"/>
  <c r="AB27" i="8"/>
  <c r="AB39" i="8"/>
  <c r="AB54" i="8"/>
  <c r="AB53" i="8"/>
  <c r="AB43" i="8"/>
  <c r="AB48" i="8"/>
  <c r="AB46" i="8"/>
  <c r="AB40" i="8"/>
  <c r="AC40" i="8" s="1"/>
  <c r="I69" i="8" s="1"/>
  <c r="I71" i="8" s="1"/>
  <c r="AB52" i="8"/>
  <c r="AB51" i="8"/>
  <c r="AB50" i="8"/>
  <c r="AB45" i="8"/>
  <c r="AB49" i="8"/>
  <c r="AB44" i="8"/>
  <c r="AB47" i="8"/>
  <c r="AB42" i="8"/>
  <c r="AB41" i="8"/>
  <c r="AC41" i="8" s="1"/>
  <c r="AL29" i="8"/>
  <c r="AL50" i="8" s="1"/>
  <c r="J41" i="8"/>
  <c r="AF31" i="8"/>
  <c r="AF52" i="8" s="1"/>
  <c r="AH31" i="8"/>
  <c r="AH52" i="8" s="1"/>
  <c r="AL31" i="8"/>
  <c r="AL52" i="8" s="1"/>
  <c r="AK31" i="8"/>
  <c r="AK52" i="8" s="1"/>
  <c r="H22" i="8"/>
  <c r="H18" i="8"/>
  <c r="AE31" i="8"/>
  <c r="AE52" i="8" s="1"/>
  <c r="AG23" i="8"/>
  <c r="AG44" i="8" s="1"/>
  <c r="M69" i="8" s="1"/>
  <c r="M76" i="8" s="1"/>
  <c r="M77" i="8" s="1"/>
  <c r="AE23" i="8"/>
  <c r="AE44" i="8" s="1"/>
  <c r="AD30" i="8"/>
  <c r="AD51" i="8" s="1"/>
  <c r="AI30" i="8"/>
  <c r="AI51" i="8" s="1"/>
  <c r="AM30" i="8"/>
  <c r="AM51" i="8" s="1"/>
  <c r="AK30" i="8"/>
  <c r="AK51" i="8" s="1"/>
  <c r="AJ30" i="8"/>
  <c r="AJ51" i="8" s="1"/>
  <c r="AH30" i="8"/>
  <c r="AH51" i="8" s="1"/>
  <c r="AL30" i="8"/>
  <c r="AL51" i="8" s="1"/>
  <c r="AC30" i="8"/>
  <c r="AC51" i="8" s="1"/>
  <c r="AN30" i="8"/>
  <c r="AN51" i="8" s="1"/>
  <c r="T69" i="8" s="1"/>
  <c r="T76" i="8" s="1"/>
  <c r="T77" i="8" s="1"/>
  <c r="AG30" i="8"/>
  <c r="AG51" i="8" s="1"/>
  <c r="AF30" i="8"/>
  <c r="AF51" i="8" s="1"/>
  <c r="AE30" i="8"/>
  <c r="AE51" i="8" s="1"/>
  <c r="H33" i="8"/>
  <c r="AD31" i="8"/>
  <c r="AD52" i="8" s="1"/>
  <c r="AD21" i="8"/>
  <c r="AD42" i="8" s="1"/>
  <c r="AE21" i="8"/>
  <c r="AE42" i="8" s="1"/>
  <c r="K69" i="8" s="1"/>
  <c r="H24" i="8"/>
  <c r="AO31" i="8"/>
  <c r="AO52" i="8" s="1"/>
  <c r="U69" i="8" s="1"/>
  <c r="U76" i="8" s="1"/>
  <c r="U77" i="8" s="1"/>
  <c r="AF29" i="8"/>
  <c r="AF50" i="8" s="1"/>
  <c r="AD29" i="8"/>
  <c r="AD50" i="8" s="1"/>
  <c r="AM29" i="8"/>
  <c r="AM50" i="8" s="1"/>
  <c r="S69" i="8" s="1"/>
  <c r="S76" i="8" s="1"/>
  <c r="S77" i="8" s="1"/>
  <c r="AE29" i="8"/>
  <c r="AE50" i="8" s="1"/>
  <c r="AH29" i="8"/>
  <c r="AH50" i="8" s="1"/>
  <c r="AJ29" i="8"/>
  <c r="AJ50" i="8" s="1"/>
  <c r="AI29" i="8"/>
  <c r="AI50" i="8" s="1"/>
  <c r="AG29" i="8"/>
  <c r="AG50" i="8" s="1"/>
  <c r="AG31" i="8"/>
  <c r="AG52" i="8" s="1"/>
  <c r="H23" i="8"/>
  <c r="AF23" i="8"/>
  <c r="AF44" i="8" s="1"/>
  <c r="AJ31" i="8"/>
  <c r="AJ52" i="8" s="1"/>
  <c r="I41" i="8"/>
  <c r="I73" i="8" l="1"/>
  <c r="I72" i="8"/>
  <c r="I74" i="8" s="1"/>
  <c r="J73" i="8"/>
  <c r="J72" i="8"/>
  <c r="J74" i="8" s="1"/>
  <c r="H16" i="7" a="1"/>
  <c r="H16" i="7" s="1"/>
  <c r="H15" i="7" a="1"/>
  <c r="H15" i="7" s="1"/>
  <c r="H14" i="7"/>
  <c r="P10" i="7" l="1"/>
  <c r="Q10" i="7"/>
  <c r="R10" i="7"/>
  <c r="S10" i="7"/>
  <c r="T10" i="7"/>
  <c r="U10" i="7"/>
  <c r="V10" i="7"/>
  <c r="W10" i="7"/>
  <c r="N7" i="7"/>
  <c r="P7" i="7"/>
  <c r="G7" i="7"/>
  <c r="D7" i="7"/>
  <c r="O7" i="7" s="1"/>
  <c r="N65" i="2"/>
  <c r="O65" i="2"/>
  <c r="P65" i="2"/>
  <c r="Q65" i="2"/>
  <c r="R65" i="2"/>
  <c r="N66" i="2"/>
  <c r="O66" i="2"/>
  <c r="P66" i="2"/>
  <c r="Q66" i="2"/>
  <c r="R66" i="2"/>
  <c r="N67" i="2"/>
  <c r="O67" i="2"/>
  <c r="P67" i="2"/>
  <c r="Q67" i="2"/>
  <c r="R67" i="2"/>
  <c r="N68" i="2"/>
  <c r="O68" i="2"/>
  <c r="P68" i="2"/>
  <c r="Q68" i="2"/>
  <c r="R68" i="2"/>
  <c r="O64" i="2"/>
  <c r="P64" i="2"/>
  <c r="Q64" i="2"/>
  <c r="R64" i="2"/>
  <c r="N64" i="2"/>
  <c r="L68" i="2"/>
  <c r="L67" i="2"/>
  <c r="L66" i="2"/>
  <c r="L65" i="2"/>
  <c r="L64" i="2"/>
  <c r="D65" i="2"/>
  <c r="D21" i="6"/>
  <c r="W20" i="6" a="1"/>
  <c r="W20" i="6" s="1"/>
  <c r="V20" i="6"/>
  <c r="V20" i="6" a="1"/>
  <c r="U20" i="6" a="1"/>
  <c r="U20" i="6" s="1"/>
  <c r="T20" i="6" a="1"/>
  <c r="T20" i="6" s="1"/>
  <c r="S20" i="6" a="1"/>
  <c r="S20" i="6" s="1"/>
  <c r="R20" i="6" a="1"/>
  <c r="R20" i="6" s="1"/>
  <c r="Q20" i="6" a="1"/>
  <c r="Q20" i="6" s="1"/>
  <c r="P20" i="6"/>
  <c r="P20" i="6" a="1"/>
  <c r="O20" i="6" a="1"/>
  <c r="O20" i="6" s="1"/>
  <c r="N20" i="6" a="1"/>
  <c r="N20" i="6" s="1"/>
  <c r="M20" i="6" a="1"/>
  <c r="M20" i="6" s="1"/>
  <c r="L20" i="6" a="1"/>
  <c r="L20" i="6" s="1"/>
  <c r="K20" i="6" a="1"/>
  <c r="K20" i="6" s="1"/>
  <c r="J20" i="6"/>
  <c r="J20" i="6" a="1"/>
  <c r="I20" i="6" a="1"/>
  <c r="I20" i="6" s="1"/>
  <c r="H20" i="6" a="1"/>
  <c r="H20" i="6" s="1"/>
  <c r="D19" i="6"/>
  <c r="D9" i="6"/>
  <c r="W8" i="6" s="1" a="1"/>
  <c r="W8" i="6" s="1"/>
  <c r="D7" i="6"/>
  <c r="I13" i="5"/>
  <c r="AD37" i="5" s="1"/>
  <c r="J13" i="5"/>
  <c r="K13" i="5"/>
  <c r="AF37" i="5" s="1"/>
  <c r="L13" i="5"/>
  <c r="AG16" i="5" s="1"/>
  <c r="M13" i="5"/>
  <c r="AH16" i="5" s="1"/>
  <c r="N13" i="5"/>
  <c r="AI16" i="5" s="1"/>
  <c r="O13" i="5"/>
  <c r="AJ37" i="5" s="1"/>
  <c r="P13" i="5"/>
  <c r="AK37" i="5" s="1"/>
  <c r="Q13" i="5"/>
  <c r="AL37" i="5" s="1"/>
  <c r="R13" i="5"/>
  <c r="AM37" i="5" s="1"/>
  <c r="S13" i="5"/>
  <c r="AN37" i="5" s="1"/>
  <c r="T13" i="5"/>
  <c r="AO37" i="5" s="1"/>
  <c r="U13" i="5"/>
  <c r="AP37" i="5" s="1"/>
  <c r="V13" i="5"/>
  <c r="AQ37" i="5" s="1"/>
  <c r="W13" i="5"/>
  <c r="AR37" i="5" s="1"/>
  <c r="H13" i="5"/>
  <c r="AC16" i="5" s="1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C38" i="5"/>
  <c r="AB54" i="5"/>
  <c r="AB43" i="5"/>
  <c r="AB42" i="5"/>
  <c r="AB39" i="5" a="1"/>
  <c r="AB53" i="5" s="1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C17" i="5"/>
  <c r="AB18" i="5" a="1"/>
  <c r="AB33" i="5" s="1"/>
  <c r="AB17" i="5"/>
  <c r="G39" i="5" a="1"/>
  <c r="G39" i="5" s="1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I37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I38" i="5"/>
  <c r="H44" i="5"/>
  <c r="H39" i="5" a="1"/>
  <c r="H54" i="5" s="1"/>
  <c r="G18" i="5" a="1"/>
  <c r="G18" i="5" s="1"/>
  <c r="I16" i="5" a="1"/>
  <c r="I16" i="5" s="1"/>
  <c r="AE37" i="5" l="1"/>
  <c r="H61" i="5"/>
  <c r="K76" i="8"/>
  <c r="K77" i="8" s="1"/>
  <c r="J76" i="8"/>
  <c r="J77" i="8" s="1"/>
  <c r="I76" i="8"/>
  <c r="I77" i="8" s="1"/>
  <c r="N10" i="7"/>
  <c r="M7" i="7"/>
  <c r="L7" i="7"/>
  <c r="W7" i="7"/>
  <c r="V7" i="7"/>
  <c r="I7" i="7"/>
  <c r="T7" i="7"/>
  <c r="L10" i="7"/>
  <c r="O10" i="7"/>
  <c r="U7" i="7"/>
  <c r="H10" i="7"/>
  <c r="S7" i="7"/>
  <c r="K10" i="7"/>
  <c r="H7" i="7"/>
  <c r="K7" i="7"/>
  <c r="M10" i="7"/>
  <c r="R7" i="7"/>
  <c r="J10" i="7"/>
  <c r="J7" i="7"/>
  <c r="Q7" i="7"/>
  <c r="I10" i="7"/>
  <c r="AR16" i="5"/>
  <c r="AP16" i="5"/>
  <c r="AO16" i="5"/>
  <c r="AF16" i="5"/>
  <c r="AG37" i="5"/>
  <c r="G50" i="5"/>
  <c r="G49" i="5"/>
  <c r="L8" i="6" a="1"/>
  <c r="L8" i="6" s="1"/>
  <c r="M8" i="6" a="1"/>
  <c r="M8" i="6" s="1"/>
  <c r="N8" i="6" a="1"/>
  <c r="N8" i="6" s="1"/>
  <c r="Q8" i="6" a="1"/>
  <c r="Q8" i="6" s="1"/>
  <c r="O8" i="6" a="1"/>
  <c r="O8" i="6" s="1"/>
  <c r="P8" i="6" a="1"/>
  <c r="P8" i="6" s="1"/>
  <c r="R8" i="6" a="1"/>
  <c r="R8" i="6" s="1"/>
  <c r="H8" i="6" a="1"/>
  <c r="H8" i="6" s="1"/>
  <c r="T8" i="6" a="1"/>
  <c r="T8" i="6" s="1"/>
  <c r="I8" i="6" a="1"/>
  <c r="I8" i="6" s="1"/>
  <c r="U8" i="6" a="1"/>
  <c r="U8" i="6" s="1"/>
  <c r="J8" i="6" a="1"/>
  <c r="J8" i="6" s="1"/>
  <c r="V8" i="6" a="1"/>
  <c r="V8" i="6" s="1"/>
  <c r="S8" i="6" a="1"/>
  <c r="S8" i="6" s="1"/>
  <c r="K8" i="6" a="1"/>
  <c r="K8" i="6" s="1"/>
  <c r="AN16" i="5"/>
  <c r="AD16" i="5"/>
  <c r="AC37" i="5"/>
  <c r="AQ16" i="5"/>
  <c r="AE16" i="5"/>
  <c r="AI37" i="5"/>
  <c r="AH37" i="5"/>
  <c r="AM16" i="5"/>
  <c r="AL16" i="5"/>
  <c r="AK16" i="5"/>
  <c r="AA39" i="5" a="1"/>
  <c r="AA43" i="5" s="1"/>
  <c r="AJ16" i="5"/>
  <c r="AA18" i="5" a="1"/>
  <c r="AA26" i="5" s="1"/>
  <c r="AB45" i="5"/>
  <c r="AB46" i="5"/>
  <c r="AB47" i="5"/>
  <c r="AB48" i="5"/>
  <c r="AB50" i="5"/>
  <c r="AB49" i="5"/>
  <c r="AB39" i="5"/>
  <c r="AB51" i="5"/>
  <c r="AB44" i="5"/>
  <c r="AB40" i="5"/>
  <c r="AB52" i="5"/>
  <c r="AB41" i="5"/>
  <c r="AB28" i="5"/>
  <c r="AB24" i="5"/>
  <c r="AB23" i="5"/>
  <c r="AB25" i="5"/>
  <c r="AB22" i="5"/>
  <c r="AB26" i="5"/>
  <c r="AB27" i="5"/>
  <c r="AB19" i="5"/>
  <c r="AB31" i="5"/>
  <c r="AB18" i="5"/>
  <c r="AB20" i="5"/>
  <c r="AB32" i="5"/>
  <c r="AB29" i="5"/>
  <c r="AB30" i="5"/>
  <c r="AB21" i="5"/>
  <c r="G41" i="5"/>
  <c r="G40" i="5"/>
  <c r="G48" i="5"/>
  <c r="G47" i="5"/>
  <c r="G46" i="5"/>
  <c r="G45" i="5"/>
  <c r="G44" i="5"/>
  <c r="G43" i="5"/>
  <c r="G54" i="5"/>
  <c r="G42" i="5"/>
  <c r="G53" i="5"/>
  <c r="G52" i="5"/>
  <c r="G51" i="5"/>
  <c r="H43" i="5"/>
  <c r="H46" i="5"/>
  <c r="H49" i="5"/>
  <c r="H45" i="5"/>
  <c r="H47" i="5"/>
  <c r="H48" i="5"/>
  <c r="H39" i="5"/>
  <c r="H50" i="5"/>
  <c r="H51" i="5"/>
  <c r="H40" i="5"/>
  <c r="H52" i="5"/>
  <c r="H41" i="5"/>
  <c r="H53" i="5"/>
  <c r="H42" i="5"/>
  <c r="G19" i="5"/>
  <c r="I19" i="5" s="1"/>
  <c r="I40" i="5" s="1"/>
  <c r="G29" i="5"/>
  <c r="G28" i="5"/>
  <c r="G27" i="5"/>
  <c r="H38" i="5" s="1"/>
  <c r="G26" i="5"/>
  <c r="G25" i="5"/>
  <c r="G24" i="5"/>
  <c r="G23" i="5"/>
  <c r="G22" i="5"/>
  <c r="G33" i="5"/>
  <c r="G21" i="5"/>
  <c r="G32" i="5"/>
  <c r="G20" i="5"/>
  <c r="G31" i="5"/>
  <c r="G30" i="5"/>
  <c r="G80" i="8" l="1"/>
  <c r="G79" i="8"/>
  <c r="AA44" i="5"/>
  <c r="AA45" i="5"/>
  <c r="AA47" i="5"/>
  <c r="AA40" i="5"/>
  <c r="AA52" i="5"/>
  <c r="AA53" i="5"/>
  <c r="AA48" i="5"/>
  <c r="AA54" i="5"/>
  <c r="AC26" i="5"/>
  <c r="AC47" i="5" s="1"/>
  <c r="AD26" i="5"/>
  <c r="AD47" i="5" s="1"/>
  <c r="AE26" i="5"/>
  <c r="AE47" i="5" s="1"/>
  <c r="AF26" i="5"/>
  <c r="AF47" i="5" s="1"/>
  <c r="AG26" i="5"/>
  <c r="AG47" i="5" s="1"/>
  <c r="AH26" i="5"/>
  <c r="AH47" i="5" s="1"/>
  <c r="AI26" i="5"/>
  <c r="AI47" i="5" s="1"/>
  <c r="AJ26" i="5"/>
  <c r="AJ47" i="5" s="1"/>
  <c r="AA51" i="5"/>
  <c r="AA42" i="5"/>
  <c r="AA39" i="5"/>
  <c r="AA49" i="5"/>
  <c r="AA50" i="5"/>
  <c r="AA41" i="5"/>
  <c r="AA46" i="5"/>
  <c r="AA22" i="5"/>
  <c r="AA21" i="5"/>
  <c r="AA33" i="5"/>
  <c r="AA25" i="5"/>
  <c r="AA23" i="5"/>
  <c r="AA31" i="5"/>
  <c r="AA30" i="5"/>
  <c r="AA24" i="5"/>
  <c r="AA20" i="5"/>
  <c r="AA19" i="5"/>
  <c r="AC19" i="5" s="1"/>
  <c r="AC40" i="5" s="1"/>
  <c r="AA32" i="5"/>
  <c r="AA18" i="5"/>
  <c r="AA28" i="5"/>
  <c r="AA27" i="5"/>
  <c r="AA29" i="5"/>
  <c r="S32" i="5"/>
  <c r="S53" i="5" s="1"/>
  <c r="Q32" i="5"/>
  <c r="Q53" i="5" s="1"/>
  <c r="U32" i="5"/>
  <c r="U53" i="5" s="1"/>
  <c r="M32" i="5"/>
  <c r="M53" i="5" s="1"/>
  <c r="L32" i="5"/>
  <c r="L53" i="5" s="1"/>
  <c r="N32" i="5"/>
  <c r="N53" i="5" s="1"/>
  <c r="K32" i="5"/>
  <c r="K53" i="5" s="1"/>
  <c r="R32" i="5"/>
  <c r="R53" i="5" s="1"/>
  <c r="O32" i="5"/>
  <c r="O53" i="5" s="1"/>
  <c r="J32" i="5"/>
  <c r="J53" i="5" s="1"/>
  <c r="I32" i="5"/>
  <c r="I53" i="5" s="1"/>
  <c r="T32" i="5"/>
  <c r="T53" i="5" s="1"/>
  <c r="P32" i="5"/>
  <c r="P53" i="5" s="1"/>
  <c r="V32" i="5"/>
  <c r="V53" i="5" s="1"/>
  <c r="W33" i="5"/>
  <c r="W54" i="5" s="1"/>
  <c r="V33" i="5"/>
  <c r="V54" i="5" s="1"/>
  <c r="S33" i="5"/>
  <c r="S54" i="5" s="1"/>
  <c r="I33" i="5"/>
  <c r="I54" i="5" s="1"/>
  <c r="U33" i="5"/>
  <c r="U54" i="5" s="1"/>
  <c r="M33" i="5"/>
  <c r="M54" i="5" s="1"/>
  <c r="L33" i="5"/>
  <c r="L54" i="5" s="1"/>
  <c r="P33" i="5"/>
  <c r="P54" i="5" s="1"/>
  <c r="Q33" i="5"/>
  <c r="Q54" i="5" s="1"/>
  <c r="N33" i="5"/>
  <c r="N54" i="5" s="1"/>
  <c r="K33" i="5"/>
  <c r="K54" i="5" s="1"/>
  <c r="R33" i="5"/>
  <c r="R54" i="5" s="1"/>
  <c r="O33" i="5"/>
  <c r="O54" i="5" s="1"/>
  <c r="J33" i="5"/>
  <c r="J54" i="5" s="1"/>
  <c r="T33" i="5"/>
  <c r="T54" i="5" s="1"/>
  <c r="I23" i="5"/>
  <c r="I44" i="5" s="1"/>
  <c r="M23" i="5"/>
  <c r="M44" i="5" s="1"/>
  <c r="L23" i="5"/>
  <c r="L44" i="5" s="1"/>
  <c r="K23" i="5"/>
  <c r="K44" i="5" s="1"/>
  <c r="J23" i="5"/>
  <c r="J44" i="5" s="1"/>
  <c r="M30" i="5"/>
  <c r="M51" i="5" s="1"/>
  <c r="L30" i="5"/>
  <c r="L51" i="5" s="1"/>
  <c r="Q30" i="5"/>
  <c r="Q51" i="5" s="1"/>
  <c r="R30" i="5"/>
  <c r="R51" i="5" s="1"/>
  <c r="O30" i="5"/>
  <c r="O51" i="5" s="1"/>
  <c r="J30" i="5"/>
  <c r="J51" i="5" s="1"/>
  <c r="T30" i="5"/>
  <c r="T51" i="5" s="1"/>
  <c r="N30" i="5"/>
  <c r="N51" i="5" s="1"/>
  <c r="I30" i="5"/>
  <c r="I51" i="5" s="1"/>
  <c r="K30" i="5"/>
  <c r="K51" i="5" s="1"/>
  <c r="P30" i="5"/>
  <c r="P51" i="5" s="1"/>
  <c r="S30" i="5"/>
  <c r="S51" i="5" s="1"/>
  <c r="Q31" i="5"/>
  <c r="Q52" i="5" s="1"/>
  <c r="N31" i="5"/>
  <c r="N52" i="5" s="1"/>
  <c r="K31" i="5"/>
  <c r="K52" i="5" s="1"/>
  <c r="T31" i="5"/>
  <c r="T52" i="5" s="1"/>
  <c r="L31" i="5"/>
  <c r="L52" i="5" s="1"/>
  <c r="S31" i="5"/>
  <c r="S52" i="5" s="1"/>
  <c r="U31" i="5"/>
  <c r="U52" i="5" s="1"/>
  <c r="R31" i="5"/>
  <c r="R52" i="5" s="1"/>
  <c r="O31" i="5"/>
  <c r="O52" i="5" s="1"/>
  <c r="J31" i="5"/>
  <c r="J52" i="5" s="1"/>
  <c r="I31" i="5"/>
  <c r="I52" i="5" s="1"/>
  <c r="P31" i="5"/>
  <c r="P52" i="5" s="1"/>
  <c r="M31" i="5"/>
  <c r="M52" i="5" s="1"/>
  <c r="M29" i="5"/>
  <c r="M50" i="5" s="1"/>
  <c r="L29" i="5"/>
  <c r="L50" i="5" s="1"/>
  <c r="N29" i="5"/>
  <c r="N50" i="5" s="1"/>
  <c r="K29" i="5"/>
  <c r="K50" i="5" s="1"/>
  <c r="R29" i="5"/>
  <c r="R50" i="5" s="1"/>
  <c r="O29" i="5"/>
  <c r="O50" i="5" s="1"/>
  <c r="J29" i="5"/>
  <c r="J50" i="5" s="1"/>
  <c r="P29" i="5"/>
  <c r="P50" i="5" s="1"/>
  <c r="S29" i="5"/>
  <c r="S50" i="5" s="1"/>
  <c r="I29" i="5"/>
  <c r="I50" i="5" s="1"/>
  <c r="Q29" i="5"/>
  <c r="Q50" i="5" s="1"/>
  <c r="K21" i="5"/>
  <c r="K42" i="5" s="1"/>
  <c r="J21" i="5"/>
  <c r="J42" i="5" s="1"/>
  <c r="I21" i="5"/>
  <c r="I42" i="5" s="1"/>
  <c r="I22" i="5"/>
  <c r="I43" i="5" s="1"/>
  <c r="K22" i="5"/>
  <c r="K43" i="5" s="1"/>
  <c r="L22" i="5"/>
  <c r="L43" i="5" s="1"/>
  <c r="J22" i="5"/>
  <c r="J43" i="5" s="1"/>
  <c r="N24" i="5"/>
  <c r="N45" i="5" s="1"/>
  <c r="K24" i="5"/>
  <c r="K45" i="5" s="1"/>
  <c r="M24" i="5"/>
  <c r="M45" i="5" s="1"/>
  <c r="L24" i="5"/>
  <c r="L45" i="5" s="1"/>
  <c r="J24" i="5"/>
  <c r="J45" i="5" s="1"/>
  <c r="I24" i="5"/>
  <c r="I45" i="5" s="1"/>
  <c r="I25" i="5"/>
  <c r="I46" i="5" s="1"/>
  <c r="L25" i="5"/>
  <c r="L46" i="5" s="1"/>
  <c r="N25" i="5"/>
  <c r="N46" i="5" s="1"/>
  <c r="K25" i="5"/>
  <c r="K46" i="5" s="1"/>
  <c r="M25" i="5"/>
  <c r="M46" i="5" s="1"/>
  <c r="J25" i="5"/>
  <c r="J46" i="5" s="1"/>
  <c r="O25" i="5"/>
  <c r="O46" i="5" s="1"/>
  <c r="O26" i="5"/>
  <c r="O47" i="5" s="1"/>
  <c r="J26" i="5"/>
  <c r="J47" i="5" s="1"/>
  <c r="I26" i="5"/>
  <c r="I47" i="5" s="1"/>
  <c r="L26" i="5"/>
  <c r="L47" i="5" s="1"/>
  <c r="K26" i="5"/>
  <c r="K47" i="5" s="1"/>
  <c r="M26" i="5"/>
  <c r="M47" i="5" s="1"/>
  <c r="N26" i="5"/>
  <c r="N47" i="5" s="1"/>
  <c r="P26" i="5"/>
  <c r="P47" i="5" s="1"/>
  <c r="O27" i="5"/>
  <c r="O48" i="5" s="1"/>
  <c r="J27" i="5"/>
  <c r="J48" i="5" s="1"/>
  <c r="Q27" i="5"/>
  <c r="Q48" i="5" s="1"/>
  <c r="L27" i="5"/>
  <c r="L48" i="5" s="1"/>
  <c r="P27" i="5"/>
  <c r="P48" i="5" s="1"/>
  <c r="I27" i="5"/>
  <c r="I48" i="5" s="1"/>
  <c r="K27" i="5"/>
  <c r="K48" i="5" s="1"/>
  <c r="N27" i="5"/>
  <c r="N48" i="5" s="1"/>
  <c r="M27" i="5"/>
  <c r="M48" i="5" s="1"/>
  <c r="N28" i="5"/>
  <c r="N49" i="5" s="1"/>
  <c r="K28" i="5"/>
  <c r="K49" i="5" s="1"/>
  <c r="I28" i="5"/>
  <c r="I49" i="5" s="1"/>
  <c r="O28" i="5"/>
  <c r="O49" i="5" s="1"/>
  <c r="J28" i="5"/>
  <c r="J49" i="5" s="1"/>
  <c r="P28" i="5"/>
  <c r="P49" i="5" s="1"/>
  <c r="Q28" i="5"/>
  <c r="Q49" i="5" s="1"/>
  <c r="M28" i="5"/>
  <c r="M49" i="5" s="1"/>
  <c r="R28" i="5"/>
  <c r="R49" i="5" s="1"/>
  <c r="L28" i="5"/>
  <c r="L49" i="5" s="1"/>
  <c r="J20" i="5"/>
  <c r="J41" i="5" s="1"/>
  <c r="H62" i="5" s="1"/>
  <c r="I20" i="5"/>
  <c r="I41" i="5" s="1"/>
  <c r="O13" i="1"/>
  <c r="H17" i="5"/>
  <c r="D9" i="5"/>
  <c r="I8" i="5" s="1" a="1"/>
  <c r="I8" i="5" s="1"/>
  <c r="D10" i="4"/>
  <c r="G8" i="4"/>
  <c r="D9" i="4"/>
  <c r="N56" i="3"/>
  <c r="O56" i="3"/>
  <c r="P56" i="3"/>
  <c r="Q56" i="3"/>
  <c r="R56" i="3"/>
  <c r="S56" i="3"/>
  <c r="T56" i="3"/>
  <c r="U56" i="3"/>
  <c r="V56" i="3"/>
  <c r="W56" i="3"/>
  <c r="I54" i="3"/>
  <c r="I56" i="3" s="1"/>
  <c r="J54" i="3"/>
  <c r="J56" i="3" s="1"/>
  <c r="K54" i="3"/>
  <c r="K56" i="3" s="1"/>
  <c r="L54" i="3"/>
  <c r="L56" i="3" s="1"/>
  <c r="M54" i="3"/>
  <c r="M56" i="3" s="1"/>
  <c r="N54" i="3"/>
  <c r="O54" i="3"/>
  <c r="P54" i="3"/>
  <c r="Q54" i="3"/>
  <c r="R54" i="3"/>
  <c r="S54" i="3"/>
  <c r="T54" i="3"/>
  <c r="U54" i="3"/>
  <c r="V54" i="3"/>
  <c r="W54" i="3"/>
  <c r="H54" i="3"/>
  <c r="H56" i="3" s="1"/>
  <c r="D51" i="3"/>
  <c r="I51" i="3" s="1"/>
  <c r="O7" i="1"/>
  <c r="V43" i="3"/>
  <c r="T43" i="3"/>
  <c r="R43" i="3"/>
  <c r="P43" i="3"/>
  <c r="N43" i="3"/>
  <c r="L43" i="3"/>
  <c r="J43" i="3"/>
  <c r="H43" i="3"/>
  <c r="W43" i="3"/>
  <c r="U43" i="3"/>
  <c r="S43" i="3"/>
  <c r="Q43" i="3"/>
  <c r="O43" i="3"/>
  <c r="M43" i="3"/>
  <c r="K43" i="3"/>
  <c r="I43" i="3"/>
  <c r="L41" i="3"/>
  <c r="N41" i="3"/>
  <c r="P41" i="3"/>
  <c r="D43" i="3"/>
  <c r="I41" i="3" s="1"/>
  <c r="D42" i="3"/>
  <c r="K34" i="3"/>
  <c r="N34" i="3"/>
  <c r="O34" i="3"/>
  <c r="P34" i="3"/>
  <c r="Q34" i="3"/>
  <c r="R34" i="3"/>
  <c r="S34" i="3"/>
  <c r="T34" i="3"/>
  <c r="U34" i="3"/>
  <c r="V34" i="3"/>
  <c r="W34" i="3"/>
  <c r="D31" i="3"/>
  <c r="O31" i="3" s="1"/>
  <c r="O14" i="1"/>
  <c r="O15" i="1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N21" i="2"/>
  <c r="O21" i="2"/>
  <c r="P21" i="2"/>
  <c r="Q21" i="2"/>
  <c r="R21" i="2"/>
  <c r="S21" i="2"/>
  <c r="T21" i="2"/>
  <c r="U21" i="2"/>
  <c r="V21" i="2"/>
  <c r="W21" i="2"/>
  <c r="H22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H53" i="2"/>
  <c r="P52" i="2"/>
  <c r="Q52" i="2"/>
  <c r="R52" i="2"/>
  <c r="S52" i="2"/>
  <c r="S54" i="2" s="1"/>
  <c r="S55" i="2" s="1"/>
  <c r="T52" i="2"/>
  <c r="T54" i="2" s="1"/>
  <c r="T55" i="2" s="1"/>
  <c r="U52" i="2"/>
  <c r="V52" i="2"/>
  <c r="W52" i="2"/>
  <c r="D50" i="2"/>
  <c r="I50" i="2" s="1"/>
  <c r="E35" i="2"/>
  <c r="O4" i="1"/>
  <c r="D39" i="2"/>
  <c r="I39" i="2" s="1"/>
  <c r="O5" i="1"/>
  <c r="M23" i="3"/>
  <c r="N23" i="3"/>
  <c r="O23" i="3"/>
  <c r="P23" i="3"/>
  <c r="Q23" i="3"/>
  <c r="R23" i="3"/>
  <c r="S23" i="3"/>
  <c r="T23" i="3"/>
  <c r="U23" i="3"/>
  <c r="V23" i="3"/>
  <c r="W23" i="3"/>
  <c r="D19" i="3"/>
  <c r="U54" i="2" l="1"/>
  <c r="U55" i="2" s="1"/>
  <c r="R54" i="2"/>
  <c r="R55" i="2" s="1"/>
  <c r="O52" i="2"/>
  <c r="N52" i="2"/>
  <c r="O54" i="2"/>
  <c r="O55" i="2" s="1"/>
  <c r="M52" i="2"/>
  <c r="M54" i="2" s="1"/>
  <c r="M55" i="2" s="1"/>
  <c r="L52" i="2"/>
  <c r="K52" i="2"/>
  <c r="K54" i="2" s="1"/>
  <c r="K55" i="2" s="1"/>
  <c r="AD22" i="5"/>
  <c r="AD43" i="5" s="1"/>
  <c r="AE22" i="5"/>
  <c r="AE43" i="5" s="1"/>
  <c r="AF22" i="5"/>
  <c r="AF43" i="5" s="1"/>
  <c r="AC22" i="5"/>
  <c r="AC43" i="5" s="1"/>
  <c r="AD30" i="5"/>
  <c r="AD51" i="5" s="1"/>
  <c r="AG30" i="5"/>
  <c r="AG51" i="5" s="1"/>
  <c r="AE30" i="5"/>
  <c r="AE51" i="5" s="1"/>
  <c r="AF30" i="5"/>
  <c r="AF51" i="5" s="1"/>
  <c r="AH30" i="5"/>
  <c r="AH51" i="5" s="1"/>
  <c r="AC30" i="5"/>
  <c r="AC51" i="5" s="1"/>
  <c r="AJ30" i="5"/>
  <c r="AJ51" i="5" s="1"/>
  <c r="AI30" i="5"/>
  <c r="AI51" i="5" s="1"/>
  <c r="AK30" i="5"/>
  <c r="AK51" i="5" s="1"/>
  <c r="AL30" i="5"/>
  <c r="AL51" i="5" s="1"/>
  <c r="AM30" i="5"/>
  <c r="AM51" i="5" s="1"/>
  <c r="AN30" i="5"/>
  <c r="AN51" i="5" s="1"/>
  <c r="AO31" i="5"/>
  <c r="AO52" i="5" s="1"/>
  <c r="AD31" i="5"/>
  <c r="AD52" i="5" s="1"/>
  <c r="AE31" i="5"/>
  <c r="AE52" i="5" s="1"/>
  <c r="AF31" i="5"/>
  <c r="AF52" i="5" s="1"/>
  <c r="AG31" i="5"/>
  <c r="AG52" i="5" s="1"/>
  <c r="AH31" i="5"/>
  <c r="AH52" i="5" s="1"/>
  <c r="AI31" i="5"/>
  <c r="AI52" i="5" s="1"/>
  <c r="AC31" i="5"/>
  <c r="AC52" i="5" s="1"/>
  <c r="AJ31" i="5"/>
  <c r="AJ52" i="5" s="1"/>
  <c r="AK31" i="5"/>
  <c r="AK52" i="5" s="1"/>
  <c r="AL31" i="5"/>
  <c r="AL52" i="5" s="1"/>
  <c r="AM31" i="5"/>
  <c r="AM52" i="5" s="1"/>
  <c r="AN31" i="5"/>
  <c r="AN52" i="5" s="1"/>
  <c r="AD29" i="5"/>
  <c r="AD50" i="5" s="1"/>
  <c r="AE29" i="5"/>
  <c r="AE50" i="5" s="1"/>
  <c r="AH29" i="5"/>
  <c r="AH50" i="5" s="1"/>
  <c r="AF29" i="5"/>
  <c r="AF50" i="5" s="1"/>
  <c r="AC29" i="5"/>
  <c r="AC50" i="5" s="1"/>
  <c r="AG29" i="5"/>
  <c r="AG50" i="5" s="1"/>
  <c r="AI29" i="5"/>
  <c r="AI50" i="5" s="1"/>
  <c r="AJ29" i="5"/>
  <c r="AJ50" i="5" s="1"/>
  <c r="AK29" i="5"/>
  <c r="AK50" i="5" s="1"/>
  <c r="AL29" i="5"/>
  <c r="AL50" i="5" s="1"/>
  <c r="AM29" i="5"/>
  <c r="AM50" i="5" s="1"/>
  <c r="AG23" i="5"/>
  <c r="AG44" i="5" s="1"/>
  <c r="AD23" i="5"/>
  <c r="AD44" i="5" s="1"/>
  <c r="AE23" i="5"/>
  <c r="AE44" i="5" s="1"/>
  <c r="AC23" i="5"/>
  <c r="AC44" i="5" s="1"/>
  <c r="AF23" i="5"/>
  <c r="AF44" i="5" s="1"/>
  <c r="AF25" i="5"/>
  <c r="AF46" i="5" s="1"/>
  <c r="AC25" i="5"/>
  <c r="AC46" i="5" s="1"/>
  <c r="AG25" i="5"/>
  <c r="AG46" i="5" s="1"/>
  <c r="AH25" i="5"/>
  <c r="AH46" i="5" s="1"/>
  <c r="AI25" i="5"/>
  <c r="AI46" i="5" s="1"/>
  <c r="AD25" i="5"/>
  <c r="AD46" i="5" s="1"/>
  <c r="AE25" i="5"/>
  <c r="AE46" i="5" s="1"/>
  <c r="AF28" i="5"/>
  <c r="AF49" i="5" s="1"/>
  <c r="AG28" i="5"/>
  <c r="AG49" i="5" s="1"/>
  <c r="AH28" i="5"/>
  <c r="AH49" i="5" s="1"/>
  <c r="AJ28" i="5"/>
  <c r="AJ49" i="5" s="1"/>
  <c r="AI28" i="5"/>
  <c r="AI49" i="5" s="1"/>
  <c r="AC28" i="5"/>
  <c r="AC49" i="5" s="1"/>
  <c r="AK28" i="5"/>
  <c r="AK49" i="5" s="1"/>
  <c r="AL28" i="5"/>
  <c r="AL49" i="5" s="1"/>
  <c r="AD28" i="5"/>
  <c r="AD49" i="5" s="1"/>
  <c r="AE28" i="5"/>
  <c r="AE49" i="5" s="1"/>
  <c r="AD32" i="5"/>
  <c r="AD53" i="5" s="1"/>
  <c r="AP32" i="5"/>
  <c r="AP53" i="5" s="1"/>
  <c r="AE32" i="5"/>
  <c r="AE53" i="5" s="1"/>
  <c r="AF32" i="5"/>
  <c r="AF53" i="5" s="1"/>
  <c r="AH32" i="5"/>
  <c r="AH53" i="5" s="1"/>
  <c r="AG32" i="5"/>
  <c r="AG53" i="5" s="1"/>
  <c r="AI32" i="5"/>
  <c r="AI53" i="5" s="1"/>
  <c r="AK32" i="5"/>
  <c r="AK53" i="5" s="1"/>
  <c r="AC32" i="5"/>
  <c r="AC53" i="5" s="1"/>
  <c r="AJ32" i="5"/>
  <c r="AJ53" i="5" s="1"/>
  <c r="AL32" i="5"/>
  <c r="AL53" i="5" s="1"/>
  <c r="AM32" i="5"/>
  <c r="AM53" i="5" s="1"/>
  <c r="AN32" i="5"/>
  <c r="AN53" i="5" s="1"/>
  <c r="AO32" i="5"/>
  <c r="AO53" i="5" s="1"/>
  <c r="AF33" i="5"/>
  <c r="AF54" i="5" s="1"/>
  <c r="AG33" i="5"/>
  <c r="AG54" i="5" s="1"/>
  <c r="AJ33" i="5"/>
  <c r="AJ54" i="5" s="1"/>
  <c r="AH33" i="5"/>
  <c r="AH54" i="5" s="1"/>
  <c r="AI33" i="5"/>
  <c r="AI54" i="5" s="1"/>
  <c r="AC33" i="5"/>
  <c r="AC54" i="5" s="1"/>
  <c r="AK33" i="5"/>
  <c r="AK54" i="5" s="1"/>
  <c r="AL33" i="5"/>
  <c r="AL54" i="5" s="1"/>
  <c r="AM33" i="5"/>
  <c r="AM54" i="5" s="1"/>
  <c r="AN33" i="5"/>
  <c r="AN54" i="5" s="1"/>
  <c r="AO33" i="5"/>
  <c r="AO54" i="5" s="1"/>
  <c r="AD33" i="5"/>
  <c r="AD54" i="5" s="1"/>
  <c r="AP33" i="5"/>
  <c r="AP54" i="5" s="1"/>
  <c r="AE33" i="5"/>
  <c r="AE54" i="5" s="1"/>
  <c r="AQ33" i="5"/>
  <c r="AQ54" i="5" s="1"/>
  <c r="AD24" i="5"/>
  <c r="AD45" i="5" s="1"/>
  <c r="AE24" i="5"/>
  <c r="AE45" i="5" s="1"/>
  <c r="AG24" i="5"/>
  <c r="AG45" i="5" s="1"/>
  <c r="AF24" i="5"/>
  <c r="AF45" i="5" s="1"/>
  <c r="AH24" i="5"/>
  <c r="AH45" i="5" s="1"/>
  <c r="AC24" i="5"/>
  <c r="AC45" i="5" s="1"/>
  <c r="AB38" i="5"/>
  <c r="AI27" i="5"/>
  <c r="AI48" i="5" s="1"/>
  <c r="AJ27" i="5"/>
  <c r="AJ48" i="5" s="1"/>
  <c r="AK27" i="5"/>
  <c r="AK48" i="5" s="1"/>
  <c r="AC27" i="5"/>
  <c r="AC48" i="5" s="1"/>
  <c r="AD27" i="5"/>
  <c r="AD48" i="5" s="1"/>
  <c r="AE27" i="5"/>
  <c r="AE48" i="5" s="1"/>
  <c r="AF27" i="5"/>
  <c r="AF48" i="5" s="1"/>
  <c r="AG27" i="5"/>
  <c r="AG48" i="5" s="1"/>
  <c r="AH27" i="5"/>
  <c r="AH48" i="5" s="1"/>
  <c r="AD20" i="5"/>
  <c r="AD41" i="5" s="1"/>
  <c r="H63" i="5" s="1"/>
  <c r="H68" i="5" s="1"/>
  <c r="AC20" i="5"/>
  <c r="AC41" i="5" s="1"/>
  <c r="AD21" i="5"/>
  <c r="AD42" i="5" s="1"/>
  <c r="AE21" i="5"/>
  <c r="AE42" i="5" s="1"/>
  <c r="AC21" i="5"/>
  <c r="AC42" i="5" s="1"/>
  <c r="J17" i="5"/>
  <c r="P8" i="5" a="1"/>
  <c r="P8" i="5" s="1"/>
  <c r="Q8" i="5" a="1"/>
  <c r="Q8" i="5" s="1"/>
  <c r="N8" i="5" a="1"/>
  <c r="N8" i="5" s="1"/>
  <c r="M8" i="5" a="1"/>
  <c r="M8" i="5" s="1"/>
  <c r="W8" i="5" a="1"/>
  <c r="W8" i="5" s="1"/>
  <c r="L8" i="5" a="1"/>
  <c r="L8" i="5" s="1"/>
  <c r="O8" i="5" a="1"/>
  <c r="O8" i="5" s="1"/>
  <c r="S8" i="5" a="1"/>
  <c r="S8" i="5" s="1"/>
  <c r="K8" i="5" a="1"/>
  <c r="K8" i="5" s="1"/>
  <c r="H8" i="5" a="1"/>
  <c r="H8" i="5" s="1"/>
  <c r="U8" i="5" a="1"/>
  <c r="U8" i="5" s="1"/>
  <c r="J8" i="5" a="1"/>
  <c r="J8" i="5" s="1"/>
  <c r="V8" i="5" a="1"/>
  <c r="V8" i="5" s="1"/>
  <c r="T8" i="5" a="1"/>
  <c r="T8" i="5" s="1"/>
  <c r="R8" i="5" a="1"/>
  <c r="R8" i="5" s="1"/>
  <c r="H41" i="3"/>
  <c r="T41" i="3"/>
  <c r="S41" i="3"/>
  <c r="T51" i="3"/>
  <c r="R41" i="3"/>
  <c r="P51" i="3"/>
  <c r="Q41" i="3"/>
  <c r="O51" i="3"/>
  <c r="O41" i="3"/>
  <c r="M41" i="3"/>
  <c r="V51" i="3"/>
  <c r="W41" i="3"/>
  <c r="K41" i="3"/>
  <c r="S51" i="3"/>
  <c r="M34" i="3"/>
  <c r="V41" i="3"/>
  <c r="J41" i="3"/>
  <c r="R51" i="3"/>
  <c r="L34" i="3"/>
  <c r="U41" i="3"/>
  <c r="Q51" i="3"/>
  <c r="N51" i="3"/>
  <c r="M51" i="3"/>
  <c r="H51" i="3"/>
  <c r="L51" i="3"/>
  <c r="W51" i="3"/>
  <c r="K51" i="3"/>
  <c r="J51" i="3"/>
  <c r="U51" i="3"/>
  <c r="M31" i="3"/>
  <c r="V31" i="3"/>
  <c r="I31" i="3"/>
  <c r="T31" i="3"/>
  <c r="H34" i="3"/>
  <c r="N31" i="3"/>
  <c r="J31" i="3"/>
  <c r="S31" i="3"/>
  <c r="H31" i="3"/>
  <c r="R31" i="3"/>
  <c r="J34" i="3"/>
  <c r="L31" i="3"/>
  <c r="Q31" i="3"/>
  <c r="I34" i="3"/>
  <c r="K31" i="3"/>
  <c r="P31" i="3"/>
  <c r="W31" i="3"/>
  <c r="U31" i="3"/>
  <c r="Q54" i="2"/>
  <c r="Q55" i="2" s="1"/>
  <c r="P54" i="2"/>
  <c r="P55" i="2" s="1"/>
  <c r="L54" i="2"/>
  <c r="L55" i="2" s="1"/>
  <c r="V54" i="2"/>
  <c r="V55" i="2" s="1"/>
  <c r="J52" i="2"/>
  <c r="J54" i="2" s="1"/>
  <c r="J55" i="2" s="1"/>
  <c r="I52" i="2"/>
  <c r="I54" i="2" s="1"/>
  <c r="I55" i="2" s="1"/>
  <c r="H52" i="2"/>
  <c r="H54" i="2" s="1"/>
  <c r="H55" i="2" s="1"/>
  <c r="N54" i="2"/>
  <c r="N55" i="2" s="1"/>
  <c r="W54" i="2"/>
  <c r="W55" i="2" s="1"/>
  <c r="S50" i="2"/>
  <c r="R50" i="2"/>
  <c r="T50" i="2"/>
  <c r="Q50" i="2"/>
  <c r="O50" i="2"/>
  <c r="M50" i="2"/>
  <c r="H50" i="2"/>
  <c r="L50" i="2"/>
  <c r="W50" i="2"/>
  <c r="K50" i="2"/>
  <c r="P50" i="2"/>
  <c r="V50" i="2"/>
  <c r="J50" i="2"/>
  <c r="N50" i="2"/>
  <c r="U50" i="2"/>
  <c r="I42" i="2" a="1"/>
  <c r="I42" i="2" s="1"/>
  <c r="T39" i="2"/>
  <c r="R39" i="2"/>
  <c r="P39" i="2"/>
  <c r="M39" i="2"/>
  <c r="H39" i="2"/>
  <c r="L39" i="2"/>
  <c r="N39" i="2"/>
  <c r="W39" i="2"/>
  <c r="K39" i="2"/>
  <c r="V39" i="2"/>
  <c r="J39" i="2"/>
  <c r="S39" i="2"/>
  <c r="Q39" i="2"/>
  <c r="O39" i="2"/>
  <c r="U39" i="2"/>
  <c r="D8" i="3"/>
  <c r="J8" i="3" s="1"/>
  <c r="O12" i="1"/>
  <c r="K29" i="2"/>
  <c r="K28" i="2"/>
  <c r="K26" i="2"/>
  <c r="K27" i="2"/>
  <c r="D22" i="2"/>
  <c r="M21" i="2" s="1"/>
  <c r="H10" i="2"/>
  <c r="D12" i="2"/>
  <c r="H8" i="2" s="1"/>
  <c r="H57" i="2" l="1"/>
  <c r="X17" i="5"/>
  <c r="T17" i="5"/>
  <c r="M17" i="5"/>
  <c r="N17" i="5"/>
  <c r="O17" i="5"/>
  <c r="R17" i="5"/>
  <c r="W17" i="5"/>
  <c r="Q17" i="5"/>
  <c r="K17" i="5"/>
  <c r="V17" i="5"/>
  <c r="P17" i="5"/>
  <c r="S17" i="5"/>
  <c r="U17" i="5"/>
  <c r="I17" i="5"/>
  <c r="L17" i="5"/>
  <c r="N8" i="3"/>
  <c r="S8" i="3"/>
  <c r="R8" i="3"/>
  <c r="Q8" i="3"/>
  <c r="O8" i="3"/>
  <c r="P8" i="3"/>
  <c r="G8" i="3"/>
  <c r="L8" i="3"/>
  <c r="K8" i="3"/>
  <c r="W8" i="3"/>
  <c r="V8" i="3"/>
  <c r="J19" i="3"/>
  <c r="J23" i="3" s="1"/>
  <c r="G31" i="3"/>
  <c r="T19" i="3"/>
  <c r="H19" i="3"/>
  <c r="H23" i="3" s="1"/>
  <c r="S19" i="3"/>
  <c r="G19" i="3"/>
  <c r="Q19" i="3"/>
  <c r="L19" i="3"/>
  <c r="L23" i="3" s="1"/>
  <c r="R19" i="3"/>
  <c r="O19" i="3"/>
  <c r="I19" i="3"/>
  <c r="I23" i="3" s="1"/>
  <c r="P19" i="3"/>
  <c r="G51" i="3"/>
  <c r="G41" i="3"/>
  <c r="U19" i="3"/>
  <c r="N19" i="3"/>
  <c r="M19" i="3"/>
  <c r="W19" i="3"/>
  <c r="K19" i="3"/>
  <c r="K23" i="3" s="1"/>
  <c r="V19" i="3"/>
  <c r="M8" i="3"/>
  <c r="U8" i="3"/>
  <c r="I8" i="3"/>
  <c r="T8" i="3"/>
  <c r="H8" i="3"/>
  <c r="I20" i="2" a="1"/>
  <c r="I20" i="2" s="1"/>
  <c r="I21" i="2"/>
  <c r="K21" i="2"/>
  <c r="H21" i="2"/>
  <c r="J21" i="2"/>
  <c r="L21" i="2"/>
  <c r="H11" i="2"/>
  <c r="I23" i="2"/>
  <c r="P20" i="2" a="1"/>
  <c r="P20" i="2" s="1"/>
  <c r="W20" i="2" a="1"/>
  <c r="W20" i="2" s="1"/>
  <c r="V20" i="2" a="1"/>
  <c r="V20" i="2" s="1"/>
  <c r="U20" i="2" a="1"/>
  <c r="U20" i="2" s="1"/>
  <c r="L20" i="2" a="1"/>
  <c r="L20" i="2" s="1"/>
  <c r="R20" i="2" a="1"/>
  <c r="R20" i="2" s="1"/>
  <c r="J20" i="2" a="1"/>
  <c r="J20" i="2" s="1"/>
  <c r="H20" i="2" a="1"/>
  <c r="H20" i="2" s="1"/>
  <c r="O20" i="2" a="1"/>
  <c r="O20" i="2" s="1"/>
  <c r="N20" i="2" a="1"/>
  <c r="N20" i="2" s="1"/>
  <c r="M20" i="2" a="1"/>
  <c r="M20" i="2" s="1"/>
  <c r="T20" i="2" a="1"/>
  <c r="T20" i="2" s="1"/>
  <c r="S20" i="2" a="1"/>
  <c r="S20" i="2" s="1"/>
  <c r="K20" i="2" a="1"/>
  <c r="K20" i="2" s="1"/>
  <c r="Q20" i="2" a="1"/>
  <c r="Q20" i="2" s="1"/>
  <c r="H18" i="5" l="1" a="1"/>
  <c r="M23" i="2"/>
  <c r="H18" i="5" l="1"/>
  <c r="H20" i="5"/>
  <c r="H32" i="5"/>
  <c r="H31" i="5"/>
  <c r="H29" i="5"/>
  <c r="H30" i="5"/>
  <c r="H28" i="5"/>
  <c r="H26" i="5"/>
  <c r="H25" i="5"/>
  <c r="H24" i="5"/>
  <c r="H23" i="5"/>
  <c r="H22" i="5"/>
  <c r="H33" i="5"/>
  <c r="H21" i="5"/>
  <c r="H19" i="5"/>
  <c r="H27" i="5"/>
  <c r="W23" i="2"/>
  <c r="T23" i="2"/>
  <c r="J23" i="2"/>
  <c r="K23" i="2"/>
  <c r="R23" i="2"/>
  <c r="Q23" i="2"/>
  <c r="L23" i="2"/>
  <c r="V23" i="2"/>
  <c r="U23" i="2"/>
  <c r="P23" i="2"/>
  <c r="S23" i="2"/>
  <c r="O23" i="2"/>
  <c r="N23" i="2"/>
  <c r="H23" i="2"/>
  <c r="I29" i="2" l="1" a="1"/>
  <c r="I29" i="2" s="1"/>
  <c r="I28" i="2" a="1"/>
  <c r="I28" i="2" s="1"/>
  <c r="I27" i="2" a="1"/>
  <c r="I27" i="2" s="1"/>
  <c r="I26" i="2" a="1"/>
  <c r="I2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<sst xmlns="http://schemas.openxmlformats.org/spreadsheetml/2006/main" count="479" uniqueCount="201">
  <si>
    <t>Rates</t>
  </si>
  <si>
    <t>Bonds</t>
  </si>
  <si>
    <t>Bound Pricing</t>
  </si>
  <si>
    <t>Inputs</t>
  </si>
  <si>
    <t>Nominal value</t>
  </si>
  <si>
    <t>N</t>
  </si>
  <si>
    <t>Coupon rate</t>
  </si>
  <si>
    <t>c</t>
  </si>
  <si>
    <t>Frequency of coupon</t>
  </si>
  <si>
    <t>n</t>
  </si>
  <si>
    <t>delta</t>
  </si>
  <si>
    <t>∆</t>
  </si>
  <si>
    <t>Computation of the Dirty Price</t>
  </si>
  <si>
    <t>Dirty price</t>
  </si>
  <si>
    <t>days</t>
  </si>
  <si>
    <t>Outputs</t>
  </si>
  <si>
    <t>Accrued interest</t>
  </si>
  <si>
    <t>Clean Price</t>
  </si>
  <si>
    <t>Yield To Maturity</t>
  </si>
  <si>
    <t>Nominal</t>
  </si>
  <si>
    <t>Delta</t>
  </si>
  <si>
    <t>i</t>
  </si>
  <si>
    <t>Ti</t>
  </si>
  <si>
    <t>CF(coupons)</t>
  </si>
  <si>
    <t>CF(Nominal)</t>
  </si>
  <si>
    <t>Last coupon payment</t>
  </si>
  <si>
    <t>PV(2-compounded)</t>
  </si>
  <si>
    <t>Objective</t>
  </si>
  <si>
    <t>CF(Total)</t>
  </si>
  <si>
    <t>PV(1-compounded)</t>
  </si>
  <si>
    <t>PV(4-compounded)</t>
  </si>
  <si>
    <t>PV(c-compounded)</t>
  </si>
  <si>
    <t>Present values</t>
  </si>
  <si>
    <t>n-comp</t>
  </si>
  <si>
    <t>Bound value</t>
  </si>
  <si>
    <t>y</t>
  </si>
  <si>
    <t>Use goal seeker to have Bound value = objective by changing y</t>
  </si>
  <si>
    <t>To find YTM use PV=price</t>
  </si>
  <si>
    <t>Computation of dirty price</t>
  </si>
  <si>
    <t xml:space="preserve">Computation of YTM </t>
  </si>
  <si>
    <t>Compute discount factors from interest rates</t>
  </si>
  <si>
    <t>Rates and discounts</t>
  </si>
  <si>
    <t>Compute Discount rates from interest rates</t>
  </si>
  <si>
    <t>Input</t>
  </si>
  <si>
    <t>r(0, Ti)</t>
  </si>
  <si>
    <t xml:space="preserve">The interest rate is </t>
  </si>
  <si>
    <t>Compounded</t>
  </si>
  <si>
    <t>Z(0, Ti)</t>
  </si>
  <si>
    <t>Cont</t>
  </si>
  <si>
    <t>Frequency</t>
  </si>
  <si>
    <t>t</t>
  </si>
  <si>
    <t>Compute Interest rates from Discount rates</t>
  </si>
  <si>
    <t>Compute interest rate from discount factor</t>
  </si>
  <si>
    <t>Find coupon rate c from Discount factors Z IF the bond quotes at par</t>
  </si>
  <si>
    <t>We can recover Z(0, Ti) from r(0, Ti) here</t>
  </si>
  <si>
    <t>c=</t>
  </si>
  <si>
    <t>Annualized coupon rate</t>
  </si>
  <si>
    <t>Find Bound Price From (c, N, Z)</t>
  </si>
  <si>
    <t xml:space="preserve">Nominal </t>
  </si>
  <si>
    <t>Bound price</t>
  </si>
  <si>
    <t>PV(CF)</t>
  </si>
  <si>
    <t>Last i</t>
  </si>
  <si>
    <t>Coupon quotes at</t>
  </si>
  <si>
    <t>time since last coupon</t>
  </si>
  <si>
    <t>Z(t, Ti)</t>
  </si>
  <si>
    <t>Compute Interpolation of the discount factors given t</t>
  </si>
  <si>
    <t>Compute Interpolation of the discount factors from one frequency to another</t>
  </si>
  <si>
    <t>Frequency initial</t>
  </si>
  <si>
    <t>Frequency new</t>
  </si>
  <si>
    <t>n2</t>
  </si>
  <si>
    <t>n1</t>
  </si>
  <si>
    <t>delta initial</t>
  </si>
  <si>
    <t>delta new</t>
  </si>
  <si>
    <t>∆1</t>
  </si>
  <si>
    <t>∆2</t>
  </si>
  <si>
    <t>Z1(0, Ti)</t>
  </si>
  <si>
    <t>Z2(0, Ti)</t>
  </si>
  <si>
    <t>Forward on bonds</t>
  </si>
  <si>
    <t>Compute discount factor from T2 to T1 at t, F(t, T1, T2)</t>
  </si>
  <si>
    <t>F(0, Ti-1, Ti)</t>
  </si>
  <si>
    <t>fn(0, Ti-1, Ti)</t>
  </si>
  <si>
    <t>Forward on a simple underlying</t>
  </si>
  <si>
    <t>Final time</t>
  </si>
  <si>
    <t>T</t>
  </si>
  <si>
    <t>Constant interest rate</t>
  </si>
  <si>
    <t>r</t>
  </si>
  <si>
    <t>F_0,T</t>
  </si>
  <si>
    <t>Evaluation time</t>
  </si>
  <si>
    <t>Underlying price at t=t</t>
  </si>
  <si>
    <t>S_t</t>
  </si>
  <si>
    <t>Forward rate agreement</t>
  </si>
  <si>
    <t>Z(0,Ti)</t>
  </si>
  <si>
    <t>F(0, T1, T2)</t>
  </si>
  <si>
    <t>T1</t>
  </si>
  <si>
    <t>T2</t>
  </si>
  <si>
    <t>The rate is</t>
  </si>
  <si>
    <t>f_n(0, T1, T2)</t>
  </si>
  <si>
    <t>Interpolation of Z given T</t>
  </si>
  <si>
    <t xml:space="preserve">Compute FRA values having discount factors Z </t>
  </si>
  <si>
    <t>Days elapsed</t>
  </si>
  <si>
    <t>Rate and discount'!B27</t>
  </si>
  <si>
    <t>F(t, T1, T2)</t>
  </si>
  <si>
    <t>f_n(t, T1, T2)</t>
  </si>
  <si>
    <t>Forward contract duration</t>
  </si>
  <si>
    <t>Or, obtain Z(t, Ti) using:</t>
  </si>
  <si>
    <t>Compute swap rates given Z</t>
  </si>
  <si>
    <t>Compute Z from the swap rate</t>
  </si>
  <si>
    <t>c(0,Ti)</t>
  </si>
  <si>
    <t>Find Z using the coupon rate and observed market prices</t>
  </si>
  <si>
    <t>Facial</t>
  </si>
  <si>
    <t>Number of bonds</t>
  </si>
  <si>
    <t>P</t>
  </si>
  <si>
    <t>=</t>
  </si>
  <si>
    <t>C</t>
  </si>
  <si>
    <t>x</t>
  </si>
  <si>
    <t>Z</t>
  </si>
  <si>
    <t>Thus,</t>
  </si>
  <si>
    <t>Z=</t>
  </si>
  <si>
    <t>Z(0, T1)</t>
  </si>
  <si>
    <t>Z(0, T2)</t>
  </si>
  <si>
    <t>Z(0, T3)</t>
  </si>
  <si>
    <t>Z(0, T4)</t>
  </si>
  <si>
    <t>Z(0, T5)</t>
  </si>
  <si>
    <t xml:space="preserve">Bond </t>
  </si>
  <si>
    <t>Obs. Price</t>
  </si>
  <si>
    <t>Coup. Rate</t>
  </si>
  <si>
    <t>Maturity</t>
  </si>
  <si>
    <t>nb periods</t>
  </si>
  <si>
    <t>C-1</t>
  </si>
  <si>
    <t>Fill the green then run script:</t>
  </si>
  <si>
    <t>inverse_matrix_Z_from_obs_mark_prices</t>
  </si>
  <si>
    <t>Bond price</t>
  </si>
  <si>
    <t>Convexity and duration</t>
  </si>
  <si>
    <t>CFi</t>
  </si>
  <si>
    <t>coupon rate</t>
  </si>
  <si>
    <t>bp</t>
  </si>
  <si>
    <t>Duration</t>
  </si>
  <si>
    <t>Convexity</t>
  </si>
  <si>
    <t>Ann. Coupon rate</t>
  </si>
  <si>
    <t>Can compute cash flows from:</t>
  </si>
  <si>
    <t>Bond pricing</t>
  </si>
  <si>
    <t>IRS - Interest Rate Swap</t>
  </si>
  <si>
    <t>last i</t>
  </si>
  <si>
    <t>We use r2 to compute Z(0, 0+∆), use the bootstrap_swap_rate script</t>
  </si>
  <si>
    <t>Z(0,0.5)</t>
  </si>
  <si>
    <t>Z(0, 0.5)</t>
  </si>
  <si>
    <t>Z(0, 1.0)</t>
  </si>
  <si>
    <t>Z(0, 1.5)</t>
  </si>
  <si>
    <t>Forward price on a bond</t>
  </si>
  <si>
    <t>T_i</t>
  </si>
  <si>
    <t>CF_i (coupons + nominal)</t>
  </si>
  <si>
    <t>F(t, T1, Ti)</t>
  </si>
  <si>
    <t>&lt;- fill it even if it is 0 and redundant</t>
  </si>
  <si>
    <t>Forward value at T1</t>
  </si>
  <si>
    <t>Forward value at t</t>
  </si>
  <si>
    <t>Caps &amp; Floors</t>
  </si>
  <si>
    <t>Flat volatility</t>
  </si>
  <si>
    <t>Strike rate</t>
  </si>
  <si>
    <t>&lt;- fill anyway</t>
  </si>
  <si>
    <t>Floorlet</t>
  </si>
  <si>
    <t>Black option pricer</t>
  </si>
  <si>
    <t>k</t>
  </si>
  <si>
    <t>T_{i-1}-t</t>
  </si>
  <si>
    <t>volatility</t>
  </si>
  <si>
    <t>Z(0, T_i)</t>
  </si>
  <si>
    <t>f_n(0, T_{i-1}, T_i)</t>
  </si>
  <si>
    <t>d1</t>
  </si>
  <si>
    <t>d2</t>
  </si>
  <si>
    <t>Phi(d1)</t>
  </si>
  <si>
    <t>Phi(d2)</t>
  </si>
  <si>
    <t>Caplet</t>
  </si>
  <si>
    <t>Floor</t>
  </si>
  <si>
    <t>Cap</t>
  </si>
  <si>
    <t>Value of a floor given (Z, k, v)</t>
  </si>
  <si>
    <t>Swaptions</t>
  </si>
  <si>
    <t xml:space="preserve">Value of a swaption </t>
  </si>
  <si>
    <t>T_0</t>
  </si>
  <si>
    <t>F(t, T_0, T_i)</t>
  </si>
  <si>
    <t>Z(t, T_i)</t>
  </si>
  <si>
    <t>f_s(t, T_0, T_M)</t>
  </si>
  <si>
    <t>F(t, T_0, T_M)</t>
  </si>
  <si>
    <t>Annuity</t>
  </si>
  <si>
    <t>= SUM of Z at which IRS pays</t>
  </si>
  <si>
    <t>Payer Swaption</t>
  </si>
  <si>
    <t>Receiver Swaption</t>
  </si>
  <si>
    <t>Nb of swap steps</t>
  </si>
  <si>
    <t>T1 (first swap time)</t>
  </si>
  <si>
    <t>T2 (last swap time)</t>
  </si>
  <si>
    <t>T1 (first *let time)</t>
  </si>
  <si>
    <t>T2 (last *let time)</t>
  </si>
  <si>
    <t>Nb of *lets</t>
  </si>
  <si>
    <t>-</t>
  </si>
  <si>
    <t>r_n(0, 0+∆)</t>
  </si>
  <si>
    <t>-&gt; If the strike is the value of the forward starting swap rate + some bp:</t>
  </si>
  <si>
    <t>FRA Pricer</t>
  </si>
  <si>
    <t>Z(t, T2)</t>
  </si>
  <si>
    <t>r_n(T1, T2)</t>
  </si>
  <si>
    <t>T1 &lt; t &lt; T2 ?</t>
  </si>
  <si>
    <t>V_FRA(t, T1, T2)</t>
  </si>
  <si>
    <t>c_n(T_i, T_M)</t>
  </si>
  <si>
    <t>Coupon rate (annual)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</si>
</sst>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Grotesque"/>
      <family val="2"/>
    </font>
    <font>
      <sz val="11"/>
      <color theme="5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u/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3" applyNumberFormat="0" applyAlignment="0" applyProtection="0"/>
    <xf numFmtId="0" fontId="7" fillId="0" borderId="0" applyNumberFormat="0" applyFill="0" applyBorder="0" applyAlignment="0" applyProtection="0"/>
  </cellStyleXfs>
  <cellXfs count="156">
    <xf numFmtId="0" fontId="0" fillId="0" borderId="0" xfId="0"/>
    <xf numFmtId="0" fontId="0" fillId="3" borderId="0" xfId="0" applyFill="1"/>
    <xf numFmtId="0" fontId="2" fillId="3" borderId="1" xfId="2" applyFill="1"/>
    <xf numFmtId="0" fontId="7" fillId="3" borderId="0" xfId="5" applyFill="1"/>
    <xf numFmtId="0" fontId="7" fillId="3" borderId="0" xfId="5" quotePrefix="1" applyFill="1"/>
    <xf numFmtId="0" fontId="0" fillId="0" borderId="7" xfId="0" applyBorder="1"/>
    <xf numFmtId="0" fontId="0" fillId="4" borderId="8" xfId="0" applyFill="1" applyBorder="1"/>
    <xf numFmtId="0" fontId="0" fillId="4" borderId="6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8" fillId="3" borderId="0" xfId="0" applyFont="1" applyFill="1"/>
    <xf numFmtId="0" fontId="4" fillId="6" borderId="12" xfId="4" applyFill="1" applyBorder="1"/>
    <xf numFmtId="0" fontId="3" fillId="3" borderId="2" xfId="3" applyFill="1"/>
    <xf numFmtId="0" fontId="0" fillId="6" borderId="0" xfId="0" applyFill="1"/>
    <xf numFmtId="0" fontId="0" fillId="7" borderId="11" xfId="1" applyNumberFormat="1" applyFont="1" applyFill="1" applyBorder="1"/>
    <xf numFmtId="0" fontId="0" fillId="7" borderId="8" xfId="0" applyFill="1" applyBorder="1"/>
    <xf numFmtId="0" fontId="0" fillId="6" borderId="6" xfId="0" applyFill="1" applyBorder="1"/>
    <xf numFmtId="10" fontId="0" fillId="6" borderId="8" xfId="0" applyNumberFormat="1" applyFill="1" applyBorder="1"/>
    <xf numFmtId="0" fontId="0" fillId="6" borderId="8" xfId="0" quotePrefix="1" applyFill="1" applyBorder="1"/>
    <xf numFmtId="0" fontId="0" fillId="6" borderId="8" xfId="0" applyFill="1" applyBorder="1"/>
    <xf numFmtId="0" fontId="0" fillId="6" borderId="11" xfId="0" applyFill="1" applyBorder="1"/>
    <xf numFmtId="0" fontId="0" fillId="3" borderId="11" xfId="0" applyFill="1" applyBorder="1"/>
    <xf numFmtId="0" fontId="5" fillId="3" borderId="0" xfId="0" applyFont="1" applyFill="1"/>
    <xf numFmtId="0" fontId="9" fillId="3" borderId="0" xfId="0" applyFont="1" applyFill="1"/>
    <xf numFmtId="0" fontId="0" fillId="3" borderId="0" xfId="0" applyFill="1" applyAlignment="1">
      <alignment horizontal="right"/>
    </xf>
    <xf numFmtId="10" fontId="0" fillId="5" borderId="8" xfId="0" applyNumberFormat="1" applyFill="1" applyBorder="1"/>
    <xf numFmtId="0" fontId="0" fillId="3" borderId="7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5" fillId="3" borderId="10" xfId="0" applyFont="1" applyFill="1" applyBorder="1"/>
    <xf numFmtId="0" fontId="0" fillId="3" borderId="10" xfId="0" applyFill="1" applyBorder="1" applyAlignment="1">
      <alignment horizontal="right"/>
    </xf>
    <xf numFmtId="10" fontId="0" fillId="5" borderId="11" xfId="0" applyNumberFormat="1" applyFill="1" applyBorder="1"/>
    <xf numFmtId="0" fontId="2" fillId="3" borderId="1" xfId="2" applyFill="1" applyAlignment="1">
      <alignment horizontal="left"/>
    </xf>
    <xf numFmtId="0" fontId="8" fillId="3" borderId="10" xfId="0" applyFont="1" applyFill="1" applyBorder="1"/>
    <xf numFmtId="0" fontId="0" fillId="4" borderId="11" xfId="0" applyFill="1" applyBorder="1"/>
    <xf numFmtId="0" fontId="0" fillId="6" borderId="6" xfId="0" quotePrefix="1" applyFill="1" applyBorder="1"/>
    <xf numFmtId="0" fontId="0" fillId="6" borderId="1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6" xfId="0" applyFill="1" applyBorder="1" applyAlignment="1">
      <alignment horizontal="right"/>
    </xf>
    <xf numFmtId="10" fontId="0" fillId="5" borderId="17" xfId="0" applyNumberFormat="1" applyFill="1" applyBorder="1"/>
    <xf numFmtId="0" fontId="0" fillId="3" borderId="17" xfId="0" applyFill="1" applyBorder="1"/>
    <xf numFmtId="0" fontId="4" fillId="6" borderId="6" xfId="4" applyFill="1" applyBorder="1"/>
    <xf numFmtId="0" fontId="6" fillId="3" borderId="4" xfId="0" applyFont="1" applyFill="1" applyBorder="1"/>
    <xf numFmtId="0" fontId="0" fillId="8" borderId="5" xfId="0" applyFill="1" applyBorder="1"/>
    <xf numFmtId="0" fontId="0" fillId="8" borderId="6" xfId="0" applyFill="1" applyBorder="1"/>
    <xf numFmtId="0" fontId="6" fillId="3" borderId="7" xfId="0" applyFont="1" applyFill="1" applyBorder="1"/>
    <xf numFmtId="0" fontId="0" fillId="8" borderId="0" xfId="0" applyFill="1"/>
    <xf numFmtId="0" fontId="0" fillId="8" borderId="8" xfId="0" applyFill="1" applyBorder="1"/>
    <xf numFmtId="0" fontId="6" fillId="3" borderId="9" xfId="0" applyFont="1" applyFill="1" applyBorder="1"/>
    <xf numFmtId="0" fontId="0" fillId="8" borderId="10" xfId="0" applyFill="1" applyBorder="1"/>
    <xf numFmtId="10" fontId="0" fillId="6" borderId="10" xfId="0" applyNumberFormat="1" applyFill="1" applyBorder="1"/>
    <xf numFmtId="10" fontId="0" fillId="6" borderId="11" xfId="0" applyNumberFormat="1" applyFill="1" applyBorder="1"/>
    <xf numFmtId="0" fontId="6" fillId="3" borderId="15" xfId="0" applyFont="1" applyFill="1" applyBorder="1"/>
    <xf numFmtId="0" fontId="0" fillId="8" borderId="16" xfId="0" applyFill="1" applyBorder="1"/>
    <xf numFmtId="0" fontId="0" fillId="8" borderId="17" xfId="0" applyFill="1" applyBorder="1"/>
    <xf numFmtId="10" fontId="0" fillId="8" borderId="16" xfId="0" applyNumberFormat="1" applyFill="1" applyBorder="1"/>
    <xf numFmtId="10" fontId="0" fillId="8" borderId="17" xfId="0" applyNumberFormat="1" applyFill="1" applyBorder="1"/>
    <xf numFmtId="0" fontId="0" fillId="5" borderId="17" xfId="0" applyFill="1" applyBorder="1"/>
    <xf numFmtId="0" fontId="0" fillId="8" borderId="15" xfId="0" applyFill="1" applyBorder="1"/>
    <xf numFmtId="2" fontId="4" fillId="6" borderId="13" xfId="1" applyNumberFormat="1" applyFont="1" applyFill="1" applyBorder="1"/>
    <xf numFmtId="9" fontId="4" fillId="6" borderId="14" xfId="1" applyFont="1" applyFill="1" applyBorder="1"/>
    <xf numFmtId="2" fontId="4" fillId="6" borderId="13" xfId="4" applyNumberFormat="1" applyFill="1" applyBorder="1"/>
    <xf numFmtId="0" fontId="0" fillId="3" borderId="0" xfId="0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9" borderId="10" xfId="0" applyFill="1" applyBorder="1"/>
    <xf numFmtId="0" fontId="0" fillId="3" borderId="18" xfId="0" applyFill="1" applyBorder="1"/>
    <xf numFmtId="0" fontId="0" fillId="3" borderId="19" xfId="0" applyFill="1" applyBorder="1"/>
    <xf numFmtId="0" fontId="7" fillId="3" borderId="19" xfId="5" applyFill="1" applyBorder="1"/>
    <xf numFmtId="0" fontId="0" fillId="0" borderId="19" xfId="0" applyBorder="1"/>
    <xf numFmtId="0" fontId="0" fillId="10" borderId="0" xfId="0" applyFill="1"/>
    <xf numFmtId="0" fontId="0" fillId="10" borderId="5" xfId="0" applyFill="1" applyBorder="1"/>
    <xf numFmtId="0" fontId="0" fillId="10" borderId="6" xfId="0" applyFill="1" applyBorder="1"/>
    <xf numFmtId="0" fontId="0" fillId="10" borderId="10" xfId="0" applyFill="1" applyBorder="1"/>
    <xf numFmtId="0" fontId="0" fillId="3" borderId="20" xfId="0" applyFill="1" applyBorder="1"/>
    <xf numFmtId="0" fontId="0" fillId="3" borderId="21" xfId="0" applyFill="1" applyBorder="1"/>
    <xf numFmtId="0" fontId="0" fillId="11" borderId="22" xfId="0" applyFill="1" applyBorder="1"/>
    <xf numFmtId="0" fontId="0" fillId="11" borderId="0" xfId="0" applyFill="1"/>
    <xf numFmtId="0" fontId="0" fillId="11" borderId="8" xfId="0" applyFill="1" applyBorder="1"/>
    <xf numFmtId="0" fontId="0" fillId="11" borderId="11" xfId="0" applyFill="1" applyBorder="1"/>
    <xf numFmtId="0" fontId="0" fillId="11" borderId="23" xfId="0" applyFill="1" applyBorder="1"/>
    <xf numFmtId="0" fontId="0" fillId="11" borderId="24" xfId="0" applyFill="1" applyBorder="1"/>
    <xf numFmtId="0" fontId="6" fillId="12" borderId="4" xfId="0" applyFont="1" applyFill="1" applyBorder="1"/>
    <xf numFmtId="0" fontId="0" fillId="13" borderId="6" xfId="0" applyFill="1" applyBorder="1"/>
    <xf numFmtId="0" fontId="0" fillId="13" borderId="8" xfId="0" applyFill="1" applyBorder="1"/>
    <xf numFmtId="0" fontId="0" fillId="13" borderId="11" xfId="0" applyFill="1" applyBorder="1"/>
    <xf numFmtId="9" fontId="0" fillId="6" borderId="10" xfId="1" applyFont="1" applyFill="1" applyBorder="1"/>
    <xf numFmtId="9" fontId="0" fillId="6" borderId="11" xfId="1" applyFont="1" applyFill="1" applyBorder="1"/>
    <xf numFmtId="0" fontId="0" fillId="6" borderId="25" xfId="0" applyFill="1" applyBorder="1"/>
    <xf numFmtId="0" fontId="0" fillId="6" borderId="26" xfId="0" applyFill="1" applyBorder="1"/>
    <xf numFmtId="0" fontId="0" fillId="6" borderId="27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9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9" fontId="0" fillId="6" borderId="0" xfId="1" applyFont="1" applyFill="1" applyBorder="1" applyAlignment="1"/>
    <xf numFmtId="9" fontId="0" fillId="6" borderId="10" xfId="1" applyFont="1" applyFill="1" applyBorder="1" applyAlignment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10" fillId="3" borderId="0" xfId="0" applyFont="1" applyFill="1"/>
    <xf numFmtId="0" fontId="11" fillId="4" borderId="4" xfId="0" applyFont="1" applyFill="1" applyBorder="1"/>
    <xf numFmtId="0" fontId="11" fillId="4" borderId="5" xfId="0" applyFont="1" applyFill="1" applyBorder="1"/>
    <xf numFmtId="0" fontId="11" fillId="4" borderId="6" xfId="0" applyFont="1" applyFill="1" applyBorder="1"/>
    <xf numFmtId="0" fontId="11" fillId="4" borderId="7" xfId="0" applyFont="1" applyFill="1" applyBorder="1"/>
    <xf numFmtId="0" fontId="11" fillId="4" borderId="0" xfId="0" applyFont="1" applyFill="1"/>
    <xf numFmtId="0" fontId="11" fillId="4" borderId="8" xfId="0" applyFont="1" applyFill="1" applyBorder="1"/>
    <xf numFmtId="0" fontId="11" fillId="4" borderId="9" xfId="0" applyFont="1" applyFill="1" applyBorder="1"/>
    <xf numFmtId="0" fontId="11" fillId="4" borderId="10" xfId="0" applyFont="1" applyFill="1" applyBorder="1"/>
    <xf numFmtId="0" fontId="11" fillId="4" borderId="11" xfId="0" applyFont="1" applyFill="1" applyBorder="1"/>
    <xf numFmtId="0" fontId="0" fillId="4" borderId="16" xfId="0" applyFill="1" applyBorder="1"/>
    <xf numFmtId="0" fontId="0" fillId="9" borderId="16" xfId="0" applyFill="1" applyBorder="1"/>
    <xf numFmtId="0" fontId="11" fillId="6" borderId="12" xfId="4" applyFont="1" applyFill="1" applyBorder="1"/>
    <xf numFmtId="10" fontId="11" fillId="6" borderId="13" xfId="1" applyNumberFormat="1" applyFont="1" applyFill="1" applyBorder="1"/>
    <xf numFmtId="0" fontId="11" fillId="6" borderId="13" xfId="4" applyFont="1" applyFill="1" applyBorder="1"/>
    <xf numFmtId="10" fontId="11" fillId="6" borderId="14" xfId="4" applyNumberFormat="1" applyFont="1" applyFill="1" applyBorder="1"/>
    <xf numFmtId="0" fontId="0" fillId="6" borderId="16" xfId="0" applyFill="1" applyBorder="1"/>
    <xf numFmtId="0" fontId="0" fillId="6" borderId="17" xfId="0" applyFill="1" applyBorder="1"/>
    <xf numFmtId="0" fontId="6" fillId="3" borderId="0" xfId="0" applyFont="1" applyFill="1"/>
    <xf numFmtId="9" fontId="0" fillId="6" borderId="8" xfId="1" applyFont="1" applyFill="1" applyBorder="1"/>
    <xf numFmtId="9" fontId="0" fillId="4" borderId="10" xfId="1" applyFont="1" applyFill="1" applyBorder="1"/>
    <xf numFmtId="0" fontId="0" fillId="13" borderId="17" xfId="0" applyFill="1" applyBorder="1"/>
    <xf numFmtId="0" fontId="0" fillId="8" borderId="11" xfId="0" applyFill="1" applyBorder="1"/>
    <xf numFmtId="0" fontId="12" fillId="3" borderId="0" xfId="0" applyFont="1" applyFill="1"/>
    <xf numFmtId="0" fontId="0" fillId="5" borderId="6" xfId="0" applyFill="1" applyBorder="1"/>
    <xf numFmtId="0" fontId="0" fillId="5" borderId="11" xfId="0" applyFill="1" applyBorder="1"/>
    <xf numFmtId="0" fontId="6" fillId="0" borderId="7" xfId="0" applyFont="1" applyBorder="1"/>
    <xf numFmtId="0" fontId="0" fillId="3" borderId="0" xfId="0" quotePrefix="1" applyFill="1"/>
    <xf numFmtId="0" fontId="0" fillId="8" borderId="6" xfId="0" quotePrefix="1" applyFill="1" applyBorder="1"/>
    <xf numFmtId="0" fontId="0" fillId="5" borderId="25" xfId="0" applyFill="1" applyBorder="1"/>
    <xf numFmtId="0" fontId="0" fillId="5" borderId="26" xfId="0" applyFill="1" applyBorder="1"/>
    <xf numFmtId="0" fontId="0" fillId="5" borderId="27" xfId="0" applyFill="1" applyBorder="1"/>
    <xf numFmtId="0" fontId="0" fillId="9" borderId="17" xfId="0" applyFill="1" applyBorder="1"/>
    <xf numFmtId="0" fontId="5" fillId="3" borderId="0" xfId="0" quotePrefix="1" applyFont="1" applyFill="1"/>
    <xf numFmtId="0" fontId="3" fillId="3" borderId="2" xfId="3" applyFill="1" applyAlignment="1">
      <alignment horizontal="left"/>
    </xf>
    <xf numFmtId="0" fontId="3" fillId="3" borderId="2" xfId="3" applyFill="1" applyAlignment="1"/>
    <xf numFmtId="0" fontId="0" fillId="3" borderId="4" xfId="0" applyFill="1" applyBorder="1"/>
    <xf numFmtId="0" fontId="0" fillId="3" borderId="5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1" xfId="2" applyFill="1" applyAlignment="1">
      <alignment horizontal="left"/>
    </xf>
    <xf numFmtId="0" fontId="7" fillId="3" borderId="10" xfId="5" quotePrefix="1" applyFill="1" applyBorder="1" applyAlignment="1">
      <alignment horizontal="left"/>
    </xf>
    <xf numFmtId="0" fontId="13" fillId="3" borderId="0" xfId="0" applyFont="1" applyFill="1"/>
    <xf numFmtId="0" fontId="0" fillId="3" borderId="0" xfId="0" applyFill="1" applyBorder="1"/>
    <xf numFmtId="0" fontId="0" fillId="8" borderId="16" xfId="1" applyNumberFormat="1" applyFont="1" applyFill="1" applyBorder="1"/>
    <xf numFmtId="0" fontId="0" fillId="8" borderId="17" xfId="1" applyNumberFormat="1" applyFont="1" applyFill="1" applyBorder="1"/>
  </cellXfs>
  <cellStyles count="6">
    <cellStyle name="Heading 1" xfId="2" builtinId="16"/>
    <cellStyle name="Heading 2" xfId="3" builtinId="17"/>
    <cellStyle name="Hyperlink" xfId="5" builtinId="8"/>
    <cellStyle name="Input" xfId="4" builtinId="20"/>
    <cellStyle name="Normal" xfId="0" builtinId="0"/>
    <cellStyle name="Per cent" xfId="1" builtinId="5"/>
  </cellStyles>
  <dxfs count="3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9.9948118533890809E-2"/>
        </patternFill>
      </fill>
    </dxf>
    <dxf>
      <fill>
        <patternFill>
          <bgColor theme="6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  <dxf>
      <fill>
        <patternFill>
          <bgColor theme="2"/>
        </patternFill>
      </fill>
    </dxf>
    <dxf>
      <fill>
        <patternFill>
          <bgColor theme="5" tint="0.7999816888943144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67</xdr:row>
      <xdr:rowOff>180975</xdr:rowOff>
    </xdr:from>
    <xdr:to>
      <xdr:col>1</xdr:col>
      <xdr:colOff>1133635</xdr:colOff>
      <xdr:row>69</xdr:row>
      <xdr:rowOff>161977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90556F-B3B6-277F-B21C-200B074DA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13468350"/>
          <a:ext cx="1143160" cy="3715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95250</xdr:colOff>
      <xdr:row>59</xdr:row>
      <xdr:rowOff>9526</xdr:rowOff>
    </xdr:from>
    <xdr:to>
      <xdr:col>22</xdr:col>
      <xdr:colOff>311151</xdr:colOff>
      <xdr:row>64</xdr:row>
      <xdr:rowOff>152401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E375074-4AEE-3FAC-0D7E-B4A6F01B6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96450" y="11477626"/>
          <a:ext cx="5092701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CC0186-04A6-489C-8D74-9E5BC8DCE6B9}">
  <we:reference id="wa104168603" version="1.0.0.6" store="en-GB" storeType="OMEX"/>
  <we:alternateReferences>
    <we:reference id="WA104168603" version="1.0.0.6" store="WA104168603" storeType="OMEX"/>
  </we:alternateReferences>
  <we:properties/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A2DEB-917D-4EC9-BF4D-5D2CFFA26CEC}">
  <sheetPr codeName="Sheet1"/>
  <dimension ref="A1:X45"/>
  <sheetViews>
    <sheetView workbookViewId="0">
      <selection activeCell="O12" sqref="O12"/>
    </sheetView>
  </sheetViews>
  <sheetFormatPr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20.25" thickBot="1" x14ac:dyDescent="0.35">
      <c r="A3" s="1"/>
      <c r="B3" s="2" t="s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.75" thickTop="1" x14ac:dyDescent="0.25">
      <c r="A4" s="1"/>
      <c r="B4" s="1"/>
      <c r="C4" s="1" t="s">
        <v>40</v>
      </c>
      <c r="D4" s="1"/>
      <c r="E4" s="1"/>
      <c r="F4" s="1"/>
      <c r="G4" s="1"/>
      <c r="H4" s="73"/>
      <c r="I4" s="73"/>
      <c r="J4" s="73"/>
      <c r="K4" s="73"/>
      <c r="L4" s="73"/>
      <c r="M4" s="73"/>
      <c r="N4" s="73"/>
      <c r="O4" s="3" t="str">
        <f>HYPERLINK("#Rate and discount!B4", "Interest rate to Discount factor")</f>
        <v>Interest rate to Discount factor</v>
      </c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 t="s">
        <v>52</v>
      </c>
      <c r="D5" s="1"/>
      <c r="E5" s="1"/>
      <c r="F5" s="1"/>
      <c r="G5" s="1"/>
      <c r="H5" s="74"/>
      <c r="I5" s="74"/>
      <c r="J5" s="74"/>
      <c r="K5" s="74"/>
      <c r="L5" s="74"/>
      <c r="M5" s="74"/>
      <c r="N5" s="74"/>
      <c r="O5" s="3" t="str">
        <f>HYPERLINK("#Rate and discount!B15", "Discount Factor to Interest rate")</f>
        <v>Discount Factor to Interest rate</v>
      </c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 t="s">
        <v>65</v>
      </c>
      <c r="D6" s="1"/>
      <c r="E6" s="1"/>
      <c r="F6" s="1"/>
      <c r="G6" s="1"/>
      <c r="H6" s="1"/>
      <c r="I6" s="75"/>
      <c r="J6" s="74"/>
      <c r="K6" s="74"/>
      <c r="L6" s="74"/>
      <c r="M6" s="76"/>
      <c r="N6" s="74"/>
      <c r="O6" s="3" t="s">
        <v>97</v>
      </c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 t="s">
        <v>66</v>
      </c>
      <c r="D7" s="1"/>
      <c r="E7" s="1"/>
      <c r="F7" s="1"/>
      <c r="G7" s="1"/>
      <c r="H7" s="1"/>
      <c r="I7" s="1"/>
      <c r="J7" s="1"/>
      <c r="K7" s="76"/>
      <c r="L7" s="74"/>
      <c r="M7" s="74"/>
      <c r="N7" s="74"/>
      <c r="O7" s="3" t="str">
        <f>HYPERLINK("#Rate and discount!B37", "Interpolation of Z from one frequency to another")</f>
        <v>Interpolation of Z from one frequency to another</v>
      </c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20.25" thickBot="1" x14ac:dyDescent="0.35">
      <c r="A11" s="1"/>
      <c r="B11" s="2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5.75" thickTop="1" x14ac:dyDescent="0.25">
      <c r="A12" s="1"/>
      <c r="B12" s="1"/>
      <c r="C12" s="1" t="s">
        <v>38</v>
      </c>
      <c r="D12" s="1"/>
      <c r="E12" s="1"/>
      <c r="F12" s="73"/>
      <c r="G12" s="73"/>
      <c r="H12" s="73"/>
      <c r="I12" s="73"/>
      <c r="J12" s="73"/>
      <c r="K12" s="73"/>
      <c r="L12" s="73"/>
      <c r="M12" s="73"/>
      <c r="N12" s="73"/>
      <c r="O12" s="4" t="str">
        <f>HYPERLINK("#Bond pricing!B5", "Computation dirty price")</f>
        <v>Computation dirty price</v>
      </c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 t="s">
        <v>39</v>
      </c>
      <c r="D13" s="1"/>
      <c r="E13" s="1"/>
      <c r="F13" s="74"/>
      <c r="G13" s="74"/>
      <c r="H13" s="74"/>
      <c r="I13" s="74"/>
      <c r="J13" s="74"/>
      <c r="K13" s="74"/>
      <c r="L13" s="74"/>
      <c r="M13" s="74"/>
      <c r="N13" s="74"/>
      <c r="O13" s="3" t="str">
        <f>HYPERLINK("#Bond pricing!B16", "Computation YTM rate")</f>
        <v>Computation YTM rate</v>
      </c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 t="s">
        <v>53</v>
      </c>
      <c r="D14" s="1"/>
      <c r="E14" s="1"/>
      <c r="F14" s="1"/>
      <c r="G14" s="1"/>
      <c r="H14" s="1"/>
      <c r="I14" s="1"/>
      <c r="J14" s="74"/>
      <c r="K14" s="74"/>
      <c r="L14" s="74"/>
      <c r="M14" s="74"/>
      <c r="N14" s="74"/>
      <c r="O14" s="3" t="str">
        <f>HYPERLINK("#Bond pricing!B33", "Coupon rate from Z if bond quotes at par")</f>
        <v>Coupon rate from Z if bond quotes at par</v>
      </c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 t="s">
        <v>57</v>
      </c>
      <c r="D15" s="1"/>
      <c r="E15" s="1"/>
      <c r="F15" s="1"/>
      <c r="G15" s="73"/>
      <c r="H15" s="73"/>
      <c r="I15" s="73"/>
      <c r="J15" s="73"/>
      <c r="K15" s="73"/>
      <c r="L15" s="73"/>
      <c r="M15" s="73"/>
      <c r="N15" s="73"/>
      <c r="O15" s="3" t="str">
        <f>HYPERLINK("#Bond pricing!B45", "Bond Price from (c, N, Z)")</f>
        <v>Bond Price from (c, N, Z)</v>
      </c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</sheetData>
  <hyperlinks>
    <hyperlink ref="O12" location="'Bond pricing'!A1" display="'Bond pricing'!A1" xr:uid="{26397C27-0F47-45D0-AE69-51A8AFEEF9CA}"/>
    <hyperlink ref="O6" location="'Rate and discount'!B27" display="Interpolation of Z given T" xr:uid="{C58778F2-4A13-4F8E-AB39-9B854AA4907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D7BE-0078-4114-BD6B-C29203F310B7}">
  <sheetPr codeName="Sheet2"/>
  <dimension ref="A1:AC103"/>
  <sheetViews>
    <sheetView workbookViewId="0">
      <selection activeCell="H12" sqref="H12"/>
    </sheetView>
  </sheetViews>
  <sheetFormatPr defaultRowHeight="15" x14ac:dyDescent="0.25"/>
  <cols>
    <col min="2" max="2" width="20" bestFit="1" customWidth="1"/>
  </cols>
  <sheetData>
    <row r="1" spans="1:2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20.25" thickBot="1" x14ac:dyDescent="0.35">
      <c r="A2" s="1"/>
      <c r="B2" s="38" t="s">
        <v>41</v>
      </c>
      <c r="C2" s="38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ht="18" thickBot="1" x14ac:dyDescent="0.35">
      <c r="A4" s="1"/>
      <c r="B4" s="144" t="s">
        <v>42</v>
      </c>
      <c r="C4" s="144"/>
      <c r="D4" s="144"/>
      <c r="E4" s="144"/>
      <c r="F4" s="14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ht="15.75" thickBot="1" x14ac:dyDescent="0.3">
      <c r="A6" s="1"/>
      <c r="B6" s="1" t="s">
        <v>43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5">
      <c r="A7" s="1"/>
      <c r="B7" s="8" t="s">
        <v>49</v>
      </c>
      <c r="C7" s="9" t="s">
        <v>9</v>
      </c>
      <c r="D7" s="16">
        <v>2</v>
      </c>
      <c r="E7" s="1"/>
      <c r="F7" s="49" t="s">
        <v>21</v>
      </c>
      <c r="G7" s="50">
        <v>0</v>
      </c>
      <c r="H7" s="50">
        <v>1</v>
      </c>
      <c r="I7" s="50">
        <v>2</v>
      </c>
      <c r="J7" s="50">
        <v>3</v>
      </c>
      <c r="K7" s="50">
        <v>4</v>
      </c>
      <c r="L7" s="50">
        <v>5</v>
      </c>
      <c r="M7" s="50">
        <v>6</v>
      </c>
      <c r="N7" s="50">
        <v>7</v>
      </c>
      <c r="O7" s="50">
        <v>8</v>
      </c>
      <c r="P7" s="50">
        <v>9</v>
      </c>
      <c r="Q7" s="50">
        <v>10</v>
      </c>
      <c r="R7" s="50">
        <v>11</v>
      </c>
      <c r="S7" s="50">
        <v>12</v>
      </c>
      <c r="T7" s="50">
        <v>13</v>
      </c>
      <c r="U7" s="50">
        <v>14</v>
      </c>
      <c r="V7" s="50">
        <v>15</v>
      </c>
      <c r="W7" s="51">
        <v>16</v>
      </c>
      <c r="X7" s="1"/>
      <c r="Y7" s="1"/>
      <c r="Z7" s="1"/>
      <c r="AA7" s="1"/>
      <c r="AB7" s="1"/>
      <c r="AC7" s="1"/>
    </row>
    <row r="8" spans="1:29" ht="15.75" thickBot="1" x14ac:dyDescent="0.3">
      <c r="A8" s="1"/>
      <c r="B8" s="13" t="s">
        <v>10</v>
      </c>
      <c r="C8" s="39" t="s">
        <v>11</v>
      </c>
      <c r="D8" s="40">
        <f>1/D7</f>
        <v>0.5</v>
      </c>
      <c r="E8" s="1"/>
      <c r="F8" s="52" t="s">
        <v>22</v>
      </c>
      <c r="G8" s="53">
        <f>$D$8*G7</f>
        <v>0</v>
      </c>
      <c r="H8" s="53">
        <f t="shared" ref="H8:W8" si="0">$D$8*H7</f>
        <v>0.5</v>
      </c>
      <c r="I8" s="53">
        <f t="shared" si="0"/>
        <v>1</v>
      </c>
      <c r="J8" s="53">
        <f t="shared" si="0"/>
        <v>1.5</v>
      </c>
      <c r="K8" s="53">
        <f t="shared" si="0"/>
        <v>2</v>
      </c>
      <c r="L8" s="53">
        <f t="shared" si="0"/>
        <v>2.5</v>
      </c>
      <c r="M8" s="53">
        <f t="shared" si="0"/>
        <v>3</v>
      </c>
      <c r="N8" s="53">
        <f t="shared" si="0"/>
        <v>3.5</v>
      </c>
      <c r="O8" s="53">
        <f t="shared" si="0"/>
        <v>4</v>
      </c>
      <c r="P8" s="53">
        <f t="shared" si="0"/>
        <v>4.5</v>
      </c>
      <c r="Q8" s="53">
        <f t="shared" si="0"/>
        <v>5</v>
      </c>
      <c r="R8" s="53">
        <f t="shared" si="0"/>
        <v>5.5</v>
      </c>
      <c r="S8" s="53">
        <f t="shared" si="0"/>
        <v>6</v>
      </c>
      <c r="T8" s="53">
        <f t="shared" si="0"/>
        <v>6.5</v>
      </c>
      <c r="U8" s="53">
        <f t="shared" si="0"/>
        <v>7</v>
      </c>
      <c r="V8" s="53">
        <f t="shared" si="0"/>
        <v>7.5</v>
      </c>
      <c r="W8" s="54">
        <f t="shared" si="0"/>
        <v>8</v>
      </c>
      <c r="X8" s="1"/>
      <c r="Y8" s="1"/>
      <c r="Z8" s="1"/>
      <c r="AA8" s="1"/>
      <c r="AB8" s="1"/>
      <c r="AC8" s="1"/>
    </row>
    <row r="9" spans="1:29" ht="15.75" thickBot="1" x14ac:dyDescent="0.3">
      <c r="A9" s="1"/>
      <c r="B9" s="1"/>
      <c r="C9" s="1" t="s">
        <v>50</v>
      </c>
      <c r="D9" s="1">
        <v>0</v>
      </c>
      <c r="E9" s="1"/>
      <c r="F9" s="55" t="s">
        <v>44</v>
      </c>
      <c r="G9" s="56">
        <v>1</v>
      </c>
      <c r="H9" s="57">
        <v>4.7699999999999999E-2</v>
      </c>
      <c r="I9" s="57">
        <v>0</v>
      </c>
      <c r="J9" s="57">
        <v>0</v>
      </c>
      <c r="K9" s="57">
        <v>0</v>
      </c>
      <c r="L9" s="57">
        <v>0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8"/>
      <c r="X9" s="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 t="s">
        <v>45</v>
      </c>
      <c r="G10" s="1"/>
      <c r="H10" s="18" t="s">
        <v>48</v>
      </c>
      <c r="I10" s="1" t="s">
        <v>46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5.75" thickBot="1" x14ac:dyDescent="0.3">
      <c r="A12" s="1"/>
      <c r="B12" s="1"/>
      <c r="C12" s="1"/>
      <c r="D12" s="1"/>
      <c r="E12" s="1"/>
      <c r="F12" s="59" t="s">
        <v>47</v>
      </c>
      <c r="G12" s="60">
        <v>1</v>
      </c>
      <c r="H12" s="60">
        <f>IF(H9=0, 0, IF(TYPE($H$10)=1, (1+(H9/$H$10))^(-$H$10*(H8-$D$9)), EXP(-H9*(H8-$D$9))))</f>
        <v>0.97643216359813645</v>
      </c>
      <c r="I12" s="60">
        <f t="shared" ref="I12:W12" si="1">IF(I9=0, 0, IF(TYPE($H$10)=1, (1+(I9/$H$10))^(-$H$10*(I8-$D$9)), EXP(-I9*(I8-$D$9))))</f>
        <v>0</v>
      </c>
      <c r="J12" s="60">
        <f t="shared" si="1"/>
        <v>0</v>
      </c>
      <c r="K12" s="60">
        <f t="shared" si="1"/>
        <v>0</v>
      </c>
      <c r="L12" s="60">
        <f t="shared" si="1"/>
        <v>0</v>
      </c>
      <c r="M12" s="60">
        <f t="shared" si="1"/>
        <v>0</v>
      </c>
      <c r="N12" s="60">
        <f t="shared" si="1"/>
        <v>0</v>
      </c>
      <c r="O12" s="60">
        <f t="shared" si="1"/>
        <v>0</v>
      </c>
      <c r="P12" s="60">
        <f t="shared" si="1"/>
        <v>0</v>
      </c>
      <c r="Q12" s="60">
        <f t="shared" si="1"/>
        <v>0</v>
      </c>
      <c r="R12" s="60">
        <f t="shared" si="1"/>
        <v>0</v>
      </c>
      <c r="S12" s="60">
        <f t="shared" si="1"/>
        <v>0</v>
      </c>
      <c r="T12" s="60">
        <f t="shared" si="1"/>
        <v>0</v>
      </c>
      <c r="U12" s="60">
        <f t="shared" si="1"/>
        <v>0</v>
      </c>
      <c r="V12" s="60">
        <f t="shared" si="1"/>
        <v>0</v>
      </c>
      <c r="W12" s="60">
        <f t="shared" si="1"/>
        <v>0</v>
      </c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ht="18" thickBot="1" x14ac:dyDescent="0.35">
      <c r="A15" s="1"/>
      <c r="B15" s="144" t="s">
        <v>51</v>
      </c>
      <c r="C15" s="144"/>
      <c r="D15" s="144"/>
      <c r="E15" s="144"/>
      <c r="F15" s="14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ht="15.75" thickTop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5.75" thickBot="1" x14ac:dyDescent="0.3">
      <c r="A17" s="1"/>
      <c r="B17" s="1" t="s">
        <v>43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8" t="s">
        <v>49</v>
      </c>
      <c r="C18" s="9" t="s">
        <v>9</v>
      </c>
      <c r="D18" s="16">
        <v>2</v>
      </c>
      <c r="E18" s="1"/>
      <c r="F18" s="49" t="s">
        <v>21</v>
      </c>
      <c r="G18" s="50">
        <v>0</v>
      </c>
      <c r="H18" s="50">
        <v>1</v>
      </c>
      <c r="I18" s="50">
        <v>2</v>
      </c>
      <c r="J18" s="50">
        <v>3</v>
      </c>
      <c r="K18" s="50">
        <v>4</v>
      </c>
      <c r="L18" s="50">
        <v>5</v>
      </c>
      <c r="M18" s="50">
        <v>6</v>
      </c>
      <c r="N18" s="50">
        <v>7</v>
      </c>
      <c r="O18" s="50">
        <v>8</v>
      </c>
      <c r="P18" s="50">
        <v>9</v>
      </c>
      <c r="Q18" s="50">
        <v>10</v>
      </c>
      <c r="R18" s="50">
        <v>11</v>
      </c>
      <c r="S18" s="50">
        <v>12</v>
      </c>
      <c r="T18" s="50">
        <v>13</v>
      </c>
      <c r="U18" s="50">
        <v>14</v>
      </c>
      <c r="V18" s="50">
        <v>15</v>
      </c>
      <c r="W18" s="51">
        <v>16</v>
      </c>
      <c r="X18" s="1"/>
      <c r="Y18" s="1"/>
      <c r="Z18" s="1"/>
      <c r="AA18" s="1"/>
      <c r="AB18" s="1"/>
      <c r="AC18" s="1"/>
    </row>
    <row r="19" spans="1:29" ht="15.75" thickBot="1" x14ac:dyDescent="0.3">
      <c r="A19" s="1"/>
      <c r="B19" s="13" t="s">
        <v>10</v>
      </c>
      <c r="C19" s="39" t="s">
        <v>11</v>
      </c>
      <c r="D19" s="40">
        <f>1/D18</f>
        <v>0.5</v>
      </c>
      <c r="E19" s="1"/>
      <c r="F19" s="52" t="s">
        <v>22</v>
      </c>
      <c r="G19" s="53">
        <f>$D$8*G18</f>
        <v>0</v>
      </c>
      <c r="H19" s="53">
        <f t="shared" ref="H19" si="2">$D$8*H18</f>
        <v>0.5</v>
      </c>
      <c r="I19" s="53">
        <f t="shared" ref="I19" si="3">$D$8*I18</f>
        <v>1</v>
      </c>
      <c r="J19" s="53">
        <f t="shared" ref="J19" si="4">$D$8*J18</f>
        <v>1.5</v>
      </c>
      <c r="K19" s="53">
        <f t="shared" ref="K19" si="5">$D$8*K18</f>
        <v>2</v>
      </c>
      <c r="L19" s="53">
        <f t="shared" ref="L19" si="6">$D$8*L18</f>
        <v>2.5</v>
      </c>
      <c r="M19" s="53">
        <f t="shared" ref="M19" si="7">$D$8*M18</f>
        <v>3</v>
      </c>
      <c r="N19" s="53">
        <f t="shared" ref="N19" si="8">$D$8*N18</f>
        <v>3.5</v>
      </c>
      <c r="O19" s="53">
        <f t="shared" ref="O19" si="9">$D$8*O18</f>
        <v>4</v>
      </c>
      <c r="P19" s="53">
        <f t="shared" ref="P19" si="10">$D$8*P18</f>
        <v>4.5</v>
      </c>
      <c r="Q19" s="53">
        <f t="shared" ref="Q19" si="11">$D$8*Q18</f>
        <v>5</v>
      </c>
      <c r="R19" s="53">
        <f t="shared" ref="R19" si="12">$D$8*R18</f>
        <v>5.5</v>
      </c>
      <c r="S19" s="53">
        <f t="shared" ref="S19" si="13">$D$8*S18</f>
        <v>6</v>
      </c>
      <c r="T19" s="53">
        <f t="shared" ref="T19" si="14">$D$8*T18</f>
        <v>6.5</v>
      </c>
      <c r="U19" s="53">
        <f t="shared" ref="U19" si="15">$D$8*U18</f>
        <v>7</v>
      </c>
      <c r="V19" s="53">
        <f t="shared" ref="V19" si="16">$D$8*V18</f>
        <v>7.5</v>
      </c>
      <c r="W19" s="54">
        <f t="shared" ref="W19" si="17">$D$8*W18</f>
        <v>8</v>
      </c>
      <c r="X19" s="1"/>
      <c r="Y19" s="1"/>
      <c r="Z19" s="1"/>
      <c r="AA19" s="1"/>
      <c r="AB19" s="1"/>
      <c r="AC19" s="1"/>
    </row>
    <row r="20" spans="1:29" ht="15.75" thickBot="1" x14ac:dyDescent="0.3">
      <c r="A20" s="1"/>
      <c r="B20" s="1"/>
      <c r="C20" s="1" t="s">
        <v>50</v>
      </c>
      <c r="D20" s="1">
        <v>0</v>
      </c>
      <c r="E20" s="1"/>
      <c r="F20" s="55" t="s">
        <v>47</v>
      </c>
      <c r="G20" s="56">
        <v>1</v>
      </c>
      <c r="H20" s="42">
        <v>0.97643216359813645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25">
        <v>0</v>
      </c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 t="s">
        <v>45</v>
      </c>
      <c r="G21" s="1"/>
      <c r="H21" s="18">
        <v>12</v>
      </c>
      <c r="I21" s="1" t="s">
        <v>46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ht="15.75" thickBo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ht="15.75" thickBot="1" x14ac:dyDescent="0.3">
      <c r="A23" s="1"/>
      <c r="B23" s="1"/>
      <c r="C23" s="1"/>
      <c r="D23" s="1"/>
      <c r="E23" s="1"/>
      <c r="F23" s="59" t="s">
        <v>44</v>
      </c>
      <c r="G23" s="60">
        <v>1</v>
      </c>
      <c r="H23" s="62">
        <f>IF(H20=0, 0, IF(TYPE($H$21)=1, $H$21*(H20^(-1/($H$21*(H19-$D$20)))-1), -LN(H20)/(H19-$D$20)))</f>
        <v>4.7794929489898941E-2</v>
      </c>
      <c r="I23" s="62">
        <f t="shared" ref="I23:W23" si="18">IF(I20=0, 0, IF(TYPE($H$21)=1, $H$21*(I20^(-1/($H$21*(I19-$D$20)))-1), -LN(I20)/(I19-$D$20)))</f>
        <v>0</v>
      </c>
      <c r="J23" s="62">
        <f t="shared" si="18"/>
        <v>0</v>
      </c>
      <c r="K23" s="62">
        <f t="shared" si="18"/>
        <v>0</v>
      </c>
      <c r="L23" s="62">
        <f t="shared" si="18"/>
        <v>0</v>
      </c>
      <c r="M23" s="62">
        <f t="shared" si="18"/>
        <v>0</v>
      </c>
      <c r="N23" s="62">
        <f t="shared" si="18"/>
        <v>0</v>
      </c>
      <c r="O23" s="62">
        <f t="shared" si="18"/>
        <v>0</v>
      </c>
      <c r="P23" s="62">
        <f t="shared" si="18"/>
        <v>0</v>
      </c>
      <c r="Q23" s="62">
        <f t="shared" si="18"/>
        <v>0</v>
      </c>
      <c r="R23" s="62">
        <f t="shared" si="18"/>
        <v>0</v>
      </c>
      <c r="S23" s="62">
        <f t="shared" si="18"/>
        <v>0</v>
      </c>
      <c r="T23" s="62">
        <f t="shared" si="18"/>
        <v>0</v>
      </c>
      <c r="U23" s="62">
        <f t="shared" si="18"/>
        <v>0</v>
      </c>
      <c r="V23" s="62">
        <f t="shared" si="18"/>
        <v>0</v>
      </c>
      <c r="W23" s="63">
        <f t="shared" si="18"/>
        <v>0</v>
      </c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ht="18" thickBot="1" x14ac:dyDescent="0.35">
      <c r="A27" s="1"/>
      <c r="B27" s="144" t="s">
        <v>65</v>
      </c>
      <c r="C27" s="144"/>
      <c r="D27" s="144"/>
      <c r="E27" s="144"/>
      <c r="F27" s="14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ht="15.75" thickTop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ht="15.75" thickBot="1" x14ac:dyDescent="0.3">
      <c r="A29" s="1"/>
      <c r="B29" s="1" t="s">
        <v>43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8" t="s">
        <v>49</v>
      </c>
      <c r="C30" s="9" t="s">
        <v>9</v>
      </c>
      <c r="D30" s="48">
        <v>2</v>
      </c>
      <c r="E30" s="1"/>
      <c r="F30" s="49" t="s">
        <v>21</v>
      </c>
      <c r="G30" s="50">
        <v>0</v>
      </c>
      <c r="H30" s="50">
        <v>1</v>
      </c>
      <c r="I30" s="50">
        <v>2</v>
      </c>
      <c r="J30" s="50">
        <v>3</v>
      </c>
      <c r="K30" s="50">
        <v>4</v>
      </c>
      <c r="L30" s="50">
        <v>5</v>
      </c>
      <c r="M30" s="50">
        <v>6</v>
      </c>
      <c r="N30" s="50">
        <v>7</v>
      </c>
      <c r="O30" s="50">
        <v>8</v>
      </c>
      <c r="P30" s="50">
        <v>9</v>
      </c>
      <c r="Q30" s="50">
        <v>10</v>
      </c>
      <c r="R30" s="50">
        <v>11</v>
      </c>
      <c r="S30" s="50">
        <v>12</v>
      </c>
      <c r="T30" s="50">
        <v>13</v>
      </c>
      <c r="U30" s="50">
        <v>14</v>
      </c>
      <c r="V30" s="50">
        <v>15</v>
      </c>
      <c r="W30" s="51">
        <v>16</v>
      </c>
      <c r="X30" s="1"/>
      <c r="Y30" s="1"/>
      <c r="Z30" s="1"/>
      <c r="AA30" s="1"/>
      <c r="AB30" s="1"/>
      <c r="AC30" s="1"/>
    </row>
    <row r="31" spans="1:29" x14ac:dyDescent="0.25">
      <c r="A31" s="1"/>
      <c r="B31" s="11" t="s">
        <v>10</v>
      </c>
      <c r="C31" s="15" t="s">
        <v>11</v>
      </c>
      <c r="D31" s="6">
        <f>1/D30</f>
        <v>0.5</v>
      </c>
      <c r="E31" s="1"/>
      <c r="F31" s="52" t="s">
        <v>22</v>
      </c>
      <c r="G31" s="53">
        <f>$D$8*G30</f>
        <v>0</v>
      </c>
      <c r="H31" s="53">
        <f>H30*$D$31</f>
        <v>0.5</v>
      </c>
      <c r="I31" s="53">
        <f t="shared" ref="I31:W31" si="19">I30*$D$31</f>
        <v>1</v>
      </c>
      <c r="J31" s="53">
        <f t="shared" si="19"/>
        <v>1.5</v>
      </c>
      <c r="K31" s="53">
        <f t="shared" si="19"/>
        <v>2</v>
      </c>
      <c r="L31" s="53">
        <f t="shared" si="19"/>
        <v>2.5</v>
      </c>
      <c r="M31" s="53">
        <f t="shared" si="19"/>
        <v>3</v>
      </c>
      <c r="N31" s="53">
        <f t="shared" si="19"/>
        <v>3.5</v>
      </c>
      <c r="O31" s="53">
        <f t="shared" si="19"/>
        <v>4</v>
      </c>
      <c r="P31" s="53">
        <f t="shared" si="19"/>
        <v>4.5</v>
      </c>
      <c r="Q31" s="53">
        <f t="shared" si="19"/>
        <v>5</v>
      </c>
      <c r="R31" s="53">
        <f t="shared" si="19"/>
        <v>5.5</v>
      </c>
      <c r="S31" s="53">
        <f t="shared" si="19"/>
        <v>6</v>
      </c>
      <c r="T31" s="53">
        <f t="shared" si="19"/>
        <v>6.5</v>
      </c>
      <c r="U31" s="53">
        <f t="shared" si="19"/>
        <v>7</v>
      </c>
      <c r="V31" s="53">
        <f t="shared" si="19"/>
        <v>7.5</v>
      </c>
      <c r="W31" s="54">
        <f t="shared" si="19"/>
        <v>8</v>
      </c>
      <c r="X31" s="1"/>
      <c r="Y31" s="1"/>
      <c r="Z31" s="1"/>
      <c r="AA31" s="1"/>
      <c r="AB31" s="1"/>
      <c r="AC31" s="1"/>
    </row>
    <row r="32" spans="1:29" ht="15.75" thickBot="1" x14ac:dyDescent="0.3">
      <c r="A32" s="1"/>
      <c r="B32" s="13" t="s">
        <v>63</v>
      </c>
      <c r="C32" s="14" t="s">
        <v>50</v>
      </c>
      <c r="D32" s="25">
        <v>37</v>
      </c>
      <c r="E32" s="1"/>
      <c r="F32" s="55" t="s">
        <v>47</v>
      </c>
      <c r="G32" s="56">
        <v>1</v>
      </c>
      <c r="H32" s="42">
        <v>0.98460000000000003</v>
      </c>
      <c r="I32" s="42">
        <v>0.96899999999999997</v>
      </c>
      <c r="J32" s="42">
        <v>0.95820000000000005</v>
      </c>
      <c r="K32" s="42">
        <v>0.94550000000000001</v>
      </c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25"/>
      <c r="X32" s="1"/>
      <c r="Y32" s="1"/>
      <c r="Z32" s="1"/>
      <c r="AA32" s="1"/>
      <c r="AB32" s="1"/>
      <c r="AC32" s="1"/>
    </row>
    <row r="33" spans="1:29" ht="15.75" thickBo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ht="15.75" thickBot="1" x14ac:dyDescent="0.3">
      <c r="A34" s="1"/>
      <c r="B34" s="1"/>
      <c r="C34" s="1"/>
      <c r="D34" s="1"/>
      <c r="E34" s="1"/>
      <c r="F34" s="59" t="s">
        <v>64</v>
      </c>
      <c r="G34" s="60">
        <v>1</v>
      </c>
      <c r="H34" s="60">
        <f>IF(H32=0, 0, (G32*$D$32+H32*(360*$D$31-$D$32))/(360*$D$31))</f>
        <v>0.98776555555555556</v>
      </c>
      <c r="I34" s="60">
        <f t="shared" ref="I34:W34" si="20">IF(I32=0, 0, (H32*$D$32+I32*(360*$D$31-$D$32))/(360*$D$31))</f>
        <v>0.97220666666666677</v>
      </c>
      <c r="J34" s="60">
        <f t="shared" si="20"/>
        <v>0.96042000000000016</v>
      </c>
      <c r="K34" s="60">
        <f t="shared" si="20"/>
        <v>0.94811055555555557</v>
      </c>
      <c r="L34" s="60">
        <f t="shared" si="20"/>
        <v>0</v>
      </c>
      <c r="M34" s="60">
        <f t="shared" si="20"/>
        <v>0</v>
      </c>
      <c r="N34" s="60">
        <f t="shared" si="20"/>
        <v>0</v>
      </c>
      <c r="O34" s="60">
        <f t="shared" si="20"/>
        <v>0</v>
      </c>
      <c r="P34" s="60">
        <f t="shared" si="20"/>
        <v>0</v>
      </c>
      <c r="Q34" s="60">
        <f t="shared" si="20"/>
        <v>0</v>
      </c>
      <c r="R34" s="60">
        <f t="shared" si="20"/>
        <v>0</v>
      </c>
      <c r="S34" s="60">
        <f t="shared" si="20"/>
        <v>0</v>
      </c>
      <c r="T34" s="60">
        <f t="shared" si="20"/>
        <v>0</v>
      </c>
      <c r="U34" s="60">
        <f t="shared" si="20"/>
        <v>0</v>
      </c>
      <c r="V34" s="60">
        <f t="shared" si="20"/>
        <v>0</v>
      </c>
      <c r="W34" s="60">
        <f t="shared" si="20"/>
        <v>0</v>
      </c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ht="18" thickBot="1" x14ac:dyDescent="0.35">
      <c r="A37" s="1"/>
      <c r="B37" s="144" t="s">
        <v>66</v>
      </c>
      <c r="C37" s="144"/>
      <c r="D37" s="144"/>
      <c r="E37" s="144"/>
      <c r="F37" s="144"/>
      <c r="G37" s="144"/>
      <c r="H37" s="144"/>
      <c r="I37" s="144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ht="15.75" thickTop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ht="15.75" thickBot="1" x14ac:dyDescent="0.3">
      <c r="A39" s="1"/>
      <c r="B39" s="1" t="s">
        <v>43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5">
      <c r="A40" s="1"/>
      <c r="B40" s="8" t="s">
        <v>67</v>
      </c>
      <c r="C40" s="9" t="s">
        <v>70</v>
      </c>
      <c r="D40" s="48">
        <v>2</v>
      </c>
      <c r="E40" s="1"/>
      <c r="F40" s="49" t="s">
        <v>21</v>
      </c>
      <c r="G40" s="50">
        <v>0</v>
      </c>
      <c r="H40" s="50">
        <v>1</v>
      </c>
      <c r="I40" s="50">
        <v>2</v>
      </c>
      <c r="J40" s="50">
        <v>3</v>
      </c>
      <c r="K40" s="50">
        <v>4</v>
      </c>
      <c r="L40" s="50">
        <v>5</v>
      </c>
      <c r="M40" s="50">
        <v>6</v>
      </c>
      <c r="N40" s="50">
        <v>7</v>
      </c>
      <c r="O40" s="50">
        <v>8</v>
      </c>
      <c r="P40" s="50">
        <v>9</v>
      </c>
      <c r="Q40" s="50">
        <v>10</v>
      </c>
      <c r="R40" s="50">
        <v>11</v>
      </c>
      <c r="S40" s="50">
        <v>12</v>
      </c>
      <c r="T40" s="50">
        <v>13</v>
      </c>
      <c r="U40" s="50">
        <v>14</v>
      </c>
      <c r="V40" s="50">
        <v>15</v>
      </c>
      <c r="W40" s="51">
        <v>16</v>
      </c>
      <c r="X40" s="1"/>
      <c r="Y40" s="1"/>
      <c r="Z40" s="1"/>
      <c r="AA40" s="1"/>
      <c r="AB40" s="1"/>
      <c r="AC40" s="1"/>
    </row>
    <row r="41" spans="1:29" x14ac:dyDescent="0.25">
      <c r="A41" s="1"/>
      <c r="B41" s="5" t="s">
        <v>68</v>
      </c>
      <c r="C41" t="s">
        <v>69</v>
      </c>
      <c r="D41" s="24">
        <v>4</v>
      </c>
      <c r="E41" s="1"/>
      <c r="F41" s="52" t="s">
        <v>22</v>
      </c>
      <c r="G41" s="53">
        <f>$D$8*G40</f>
        <v>0</v>
      </c>
      <c r="H41" s="53">
        <f t="shared" ref="H41:W41" si="21">H40*$D$43</f>
        <v>0.25</v>
      </c>
      <c r="I41" s="53">
        <f t="shared" si="21"/>
        <v>0.5</v>
      </c>
      <c r="J41" s="53">
        <f t="shared" si="21"/>
        <v>0.75</v>
      </c>
      <c r="K41" s="53">
        <f t="shared" si="21"/>
        <v>1</v>
      </c>
      <c r="L41" s="53">
        <f t="shared" si="21"/>
        <v>1.25</v>
      </c>
      <c r="M41" s="53">
        <f t="shared" si="21"/>
        <v>1.5</v>
      </c>
      <c r="N41" s="53">
        <f t="shared" si="21"/>
        <v>1.75</v>
      </c>
      <c r="O41" s="53">
        <f t="shared" si="21"/>
        <v>2</v>
      </c>
      <c r="P41" s="53">
        <f t="shared" si="21"/>
        <v>2.25</v>
      </c>
      <c r="Q41" s="53">
        <f t="shared" si="21"/>
        <v>2.5</v>
      </c>
      <c r="R41" s="53">
        <f t="shared" si="21"/>
        <v>2.75</v>
      </c>
      <c r="S41" s="53">
        <f t="shared" si="21"/>
        <v>3</v>
      </c>
      <c r="T41" s="53">
        <f t="shared" si="21"/>
        <v>3.25</v>
      </c>
      <c r="U41" s="53">
        <f t="shared" si="21"/>
        <v>3.5</v>
      </c>
      <c r="V41" s="53">
        <f t="shared" si="21"/>
        <v>3.75</v>
      </c>
      <c r="W41" s="54">
        <f t="shared" si="21"/>
        <v>4</v>
      </c>
      <c r="X41" s="1"/>
      <c r="Y41" s="1"/>
      <c r="Z41" s="1"/>
      <c r="AA41" s="1"/>
      <c r="AB41" s="1"/>
      <c r="AC41" s="1"/>
    </row>
    <row r="42" spans="1:29" ht="15.75" thickBot="1" x14ac:dyDescent="0.3">
      <c r="A42" s="1"/>
      <c r="B42" s="11" t="s">
        <v>71</v>
      </c>
      <c r="C42" s="15" t="s">
        <v>73</v>
      </c>
      <c r="D42" s="6">
        <f>1/D40</f>
        <v>0.5</v>
      </c>
      <c r="E42" s="1"/>
      <c r="F42" s="55" t="s">
        <v>75</v>
      </c>
      <c r="G42" s="56">
        <v>1</v>
      </c>
      <c r="H42" s="56">
        <v>0</v>
      </c>
      <c r="I42" s="42">
        <v>0.98509999999999998</v>
      </c>
      <c r="J42" s="56">
        <v>0</v>
      </c>
      <c r="K42" s="42">
        <v>0.96950000000000003</v>
      </c>
      <c r="L42" s="56">
        <v>0</v>
      </c>
      <c r="M42" s="42">
        <v>0.95740000000000003</v>
      </c>
      <c r="N42" s="56">
        <v>0</v>
      </c>
      <c r="O42" s="42">
        <v>0.94550000000000001</v>
      </c>
      <c r="P42" s="56">
        <v>0</v>
      </c>
      <c r="Q42" s="42">
        <v>0</v>
      </c>
      <c r="R42" s="56">
        <v>0</v>
      </c>
      <c r="S42" s="42">
        <v>0</v>
      </c>
      <c r="T42" s="56">
        <v>0</v>
      </c>
      <c r="U42" s="42">
        <v>0</v>
      </c>
      <c r="V42" s="56">
        <v>0</v>
      </c>
      <c r="W42" s="25">
        <v>0</v>
      </c>
      <c r="X42" s="1"/>
      <c r="Y42" s="1"/>
      <c r="Z42" s="1"/>
      <c r="AA42" s="1"/>
      <c r="AB42" s="1"/>
      <c r="AC42" s="1"/>
    </row>
    <row r="43" spans="1:29" ht="15.75" thickBot="1" x14ac:dyDescent="0.3">
      <c r="A43" s="1"/>
      <c r="B43" s="11" t="s">
        <v>72</v>
      </c>
      <c r="C43" s="15" t="s">
        <v>74</v>
      </c>
      <c r="D43" s="6">
        <f>1/D41</f>
        <v>0.25</v>
      </c>
      <c r="E43" s="1"/>
      <c r="F43" s="55" t="s">
        <v>76</v>
      </c>
      <c r="G43" s="65">
        <v>1</v>
      </c>
      <c r="H43" s="60">
        <f>AVERAGE(G42,I42)</f>
        <v>0.99255000000000004</v>
      </c>
      <c r="I43" s="60">
        <f>I42</f>
        <v>0.98509999999999998</v>
      </c>
      <c r="J43" s="60">
        <f>AVERAGE(I42,K42)</f>
        <v>0.97730000000000006</v>
      </c>
      <c r="K43" s="60">
        <f>K42</f>
        <v>0.96950000000000003</v>
      </c>
      <c r="L43" s="60">
        <f>AVERAGE(K42,M42)</f>
        <v>0.96345000000000003</v>
      </c>
      <c r="M43" s="60">
        <f>M42</f>
        <v>0.95740000000000003</v>
      </c>
      <c r="N43" s="60">
        <f>AVERAGE(M42,O42)</f>
        <v>0.95145000000000002</v>
      </c>
      <c r="O43" s="60">
        <f>O42</f>
        <v>0.94550000000000001</v>
      </c>
      <c r="P43" s="60">
        <f>AVERAGE(O42,Q42)</f>
        <v>0.47275</v>
      </c>
      <c r="Q43" s="60">
        <f>Q42</f>
        <v>0</v>
      </c>
      <c r="R43" s="60">
        <f>AVERAGE(Q42,S42)</f>
        <v>0</v>
      </c>
      <c r="S43" s="60">
        <f>S42</f>
        <v>0</v>
      </c>
      <c r="T43" s="60">
        <f>AVERAGE(S42,U42)</f>
        <v>0</v>
      </c>
      <c r="U43" s="60">
        <f>U42</f>
        <v>0</v>
      </c>
      <c r="V43" s="60">
        <f>AVERAGE(U42,W42)</f>
        <v>0</v>
      </c>
      <c r="W43" s="61">
        <f>W42</f>
        <v>0</v>
      </c>
      <c r="X43" s="1"/>
      <c r="Y43" s="1"/>
      <c r="Z43" s="1"/>
      <c r="AA43" s="1"/>
      <c r="AB43" s="1"/>
      <c r="AC43" s="1"/>
    </row>
    <row r="44" spans="1:29" ht="15.75" thickBot="1" x14ac:dyDescent="0.3">
      <c r="A44" s="1"/>
      <c r="B44" s="13" t="s">
        <v>61</v>
      </c>
      <c r="C44" s="14"/>
      <c r="D44" s="25">
        <v>8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ht="18" thickBot="1" x14ac:dyDescent="0.35">
      <c r="A47" s="1"/>
      <c r="B47" s="144" t="s">
        <v>78</v>
      </c>
      <c r="C47" s="144"/>
      <c r="D47" s="144"/>
      <c r="E47" s="144"/>
      <c r="F47" s="144"/>
      <c r="G47" s="144"/>
      <c r="H47" s="144"/>
      <c r="I47" s="144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ht="15.75" thickTop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ht="15.75" thickBot="1" x14ac:dyDescent="0.3">
      <c r="A49" s="1"/>
      <c r="B49" s="1" t="s">
        <v>43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5">
      <c r="A50" s="1"/>
      <c r="B50" s="8" t="s">
        <v>49</v>
      </c>
      <c r="C50" s="9" t="s">
        <v>9</v>
      </c>
      <c r="D50" s="48">
        <v>2</v>
      </c>
      <c r="E50" s="1"/>
      <c r="F50" s="49" t="s">
        <v>21</v>
      </c>
      <c r="G50" s="50">
        <v>0</v>
      </c>
      <c r="H50" s="50">
        <v>1</v>
      </c>
      <c r="I50" s="50">
        <v>2</v>
      </c>
      <c r="J50" s="50">
        <v>3</v>
      </c>
      <c r="K50" s="50">
        <v>4</v>
      </c>
      <c r="L50" s="50">
        <v>5</v>
      </c>
      <c r="M50" s="50">
        <v>6</v>
      </c>
      <c r="N50" s="50">
        <v>7</v>
      </c>
      <c r="O50" s="50">
        <v>8</v>
      </c>
      <c r="P50" s="50">
        <v>9</v>
      </c>
      <c r="Q50" s="50">
        <v>10</v>
      </c>
      <c r="R50" s="50">
        <v>11</v>
      </c>
      <c r="S50" s="50">
        <v>12</v>
      </c>
      <c r="T50" s="50">
        <v>13</v>
      </c>
      <c r="U50" s="50">
        <v>14</v>
      </c>
      <c r="V50" s="50">
        <v>15</v>
      </c>
      <c r="W50" s="51">
        <v>16</v>
      </c>
      <c r="X50" s="1"/>
      <c r="Y50" s="1"/>
      <c r="Z50" s="1"/>
      <c r="AA50" s="1"/>
      <c r="AB50" s="1"/>
      <c r="AC50" s="1"/>
    </row>
    <row r="51" spans="1:29" ht="15.75" thickBot="1" x14ac:dyDescent="0.3">
      <c r="A51" s="1"/>
      <c r="B51" s="13" t="s">
        <v>10</v>
      </c>
      <c r="C51" s="39" t="s">
        <v>11</v>
      </c>
      <c r="D51" s="40">
        <f>1/D50</f>
        <v>0.5</v>
      </c>
      <c r="E51" s="1"/>
      <c r="F51" s="52" t="s">
        <v>22</v>
      </c>
      <c r="G51" s="53">
        <f>$D$8*G50</f>
        <v>0</v>
      </c>
      <c r="H51" s="53">
        <f>H50*$D$51</f>
        <v>0.5</v>
      </c>
      <c r="I51" s="53">
        <f t="shared" ref="I51:W51" si="22">I50*$D$51</f>
        <v>1</v>
      </c>
      <c r="J51" s="53">
        <f t="shared" si="22"/>
        <v>1.5</v>
      </c>
      <c r="K51" s="53">
        <f t="shared" si="22"/>
        <v>2</v>
      </c>
      <c r="L51" s="53">
        <f t="shared" si="22"/>
        <v>2.5</v>
      </c>
      <c r="M51" s="53">
        <f t="shared" si="22"/>
        <v>3</v>
      </c>
      <c r="N51" s="53">
        <f t="shared" si="22"/>
        <v>3.5</v>
      </c>
      <c r="O51" s="53">
        <f t="shared" si="22"/>
        <v>4</v>
      </c>
      <c r="P51" s="53">
        <f t="shared" si="22"/>
        <v>4.5</v>
      </c>
      <c r="Q51" s="53">
        <f t="shared" si="22"/>
        <v>5</v>
      </c>
      <c r="R51" s="53">
        <f t="shared" si="22"/>
        <v>5.5</v>
      </c>
      <c r="S51" s="53">
        <f t="shared" si="22"/>
        <v>6</v>
      </c>
      <c r="T51" s="53">
        <f t="shared" si="22"/>
        <v>6.5</v>
      </c>
      <c r="U51" s="53">
        <f t="shared" si="22"/>
        <v>7</v>
      </c>
      <c r="V51" s="53">
        <f t="shared" si="22"/>
        <v>7.5</v>
      </c>
      <c r="W51" s="53">
        <f t="shared" si="22"/>
        <v>8</v>
      </c>
      <c r="X51" s="1"/>
      <c r="Y51" s="1"/>
      <c r="Z51" s="1"/>
      <c r="AA51" s="1"/>
      <c r="AB51" s="1"/>
      <c r="AC51" s="1"/>
    </row>
    <row r="52" spans="1:29" ht="15.75" thickBot="1" x14ac:dyDescent="0.3">
      <c r="A52" s="1"/>
      <c r="B52" s="1"/>
      <c r="C52" s="1"/>
      <c r="D52" s="1"/>
      <c r="E52" s="1"/>
      <c r="F52" s="55" t="s">
        <v>47</v>
      </c>
      <c r="G52" s="56">
        <v>1</v>
      </c>
      <c r="H52" s="42">
        <v>0.98941000000000001</v>
      </c>
      <c r="I52" s="42">
        <v>0.97716000000000003</v>
      </c>
      <c r="J52" s="42">
        <v>0.96464000000000005</v>
      </c>
      <c r="K52" s="42">
        <v>0.95218000000000003</v>
      </c>
      <c r="L52" s="42">
        <v>0</v>
      </c>
      <c r="M52" s="42">
        <v>0</v>
      </c>
      <c r="N52" s="42">
        <v>0</v>
      </c>
      <c r="O52" s="42">
        <v>0</v>
      </c>
      <c r="P52" s="42">
        <v>0</v>
      </c>
      <c r="Q52" s="42">
        <v>0</v>
      </c>
      <c r="R52" s="42">
        <v>0</v>
      </c>
      <c r="S52" s="42">
        <v>0</v>
      </c>
      <c r="T52" s="42">
        <v>0</v>
      </c>
      <c r="U52" s="42">
        <v>0</v>
      </c>
      <c r="V52" s="42">
        <v>0</v>
      </c>
      <c r="W52" s="25">
        <v>0</v>
      </c>
      <c r="X52" s="1"/>
      <c r="Y52" s="1"/>
      <c r="Z52" s="1"/>
      <c r="AA52" s="1"/>
      <c r="AB52" s="1"/>
      <c r="AC52" s="1"/>
    </row>
    <row r="53" spans="1:29" ht="15.75" thickBo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ht="15.75" thickBot="1" x14ac:dyDescent="0.3">
      <c r="A54" s="1"/>
      <c r="B54" s="1"/>
      <c r="C54" s="1"/>
      <c r="D54" s="1"/>
      <c r="E54" s="1"/>
      <c r="F54" s="59" t="s">
        <v>79</v>
      </c>
      <c r="G54" s="44"/>
      <c r="H54" s="44">
        <f>IF(I52=0, 0, I52/H52)</f>
        <v>0.98761888398136266</v>
      </c>
      <c r="I54" s="44">
        <f t="shared" ref="I54:W54" si="23">IF(J52=0, 0, J52/I52)</f>
        <v>0.98718735928609447</v>
      </c>
      <c r="J54" s="44">
        <f t="shared" si="23"/>
        <v>0.98708326422292247</v>
      </c>
      <c r="K54" s="44">
        <f t="shared" si="23"/>
        <v>0</v>
      </c>
      <c r="L54" s="44">
        <f t="shared" si="23"/>
        <v>0</v>
      </c>
      <c r="M54" s="44">
        <f t="shared" si="23"/>
        <v>0</v>
      </c>
      <c r="N54" s="44">
        <f t="shared" si="23"/>
        <v>0</v>
      </c>
      <c r="O54" s="44">
        <f t="shared" si="23"/>
        <v>0</v>
      </c>
      <c r="P54" s="44">
        <f t="shared" si="23"/>
        <v>0</v>
      </c>
      <c r="Q54" s="44">
        <f t="shared" si="23"/>
        <v>0</v>
      </c>
      <c r="R54" s="44">
        <f t="shared" si="23"/>
        <v>0</v>
      </c>
      <c r="S54" s="44">
        <f t="shared" si="23"/>
        <v>0</v>
      </c>
      <c r="T54" s="44">
        <f t="shared" si="23"/>
        <v>0</v>
      </c>
      <c r="U54" s="44">
        <f t="shared" si="23"/>
        <v>0</v>
      </c>
      <c r="V54" s="44">
        <f t="shared" si="23"/>
        <v>0</v>
      </c>
      <c r="W54" s="47">
        <f t="shared" si="23"/>
        <v>0</v>
      </c>
      <c r="X54" s="1"/>
      <c r="Y54" s="1"/>
      <c r="Z54" s="1"/>
      <c r="AA54" s="1"/>
      <c r="AB54" s="1"/>
      <c r="AC54" s="1"/>
    </row>
    <row r="55" spans="1:29" ht="15.75" thickBot="1" x14ac:dyDescent="0.3">
      <c r="A55" s="1"/>
      <c r="B55" s="1"/>
      <c r="C55" s="1"/>
      <c r="D55" s="1"/>
      <c r="E55" s="1"/>
      <c r="F55" s="1" t="s">
        <v>45</v>
      </c>
      <c r="G55" s="1"/>
      <c r="H55" s="18">
        <v>2</v>
      </c>
      <c r="I55" s="1" t="s">
        <v>46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ht="15.75" thickBot="1" x14ac:dyDescent="0.3">
      <c r="A56" s="1"/>
      <c r="B56" s="1"/>
      <c r="C56" s="1"/>
      <c r="D56" s="1"/>
      <c r="E56" s="1"/>
      <c r="F56" s="59" t="s">
        <v>80</v>
      </c>
      <c r="G56" s="44"/>
      <c r="H56" s="44">
        <f>IF(H54=0, 0, IF(TYPE($H$55)=1, $H$55*(H54^(-1/($H$55*(I51-H51)))-1), -LN(H54)/(I51-H51)))</f>
        <v>2.5072659543984521E-2</v>
      </c>
      <c r="I56" s="44">
        <f t="shared" ref="I56:W56" si="24">IF(I54=0, 0, IF(TYPE($H$55)=1, $H$55*(I54^(-1/($H$55*(J51-I51)))-1), -LN(I54)/(J51-I51)))</f>
        <v>2.5957870293580765E-2</v>
      </c>
      <c r="J56" s="44">
        <f t="shared" si="24"/>
        <v>2.6171522191182461E-2</v>
      </c>
      <c r="K56" s="44">
        <f t="shared" si="24"/>
        <v>0</v>
      </c>
      <c r="L56" s="44">
        <f t="shared" si="24"/>
        <v>0</v>
      </c>
      <c r="M56" s="44">
        <f t="shared" si="24"/>
        <v>0</v>
      </c>
      <c r="N56" s="44">
        <f t="shared" si="24"/>
        <v>0</v>
      </c>
      <c r="O56" s="44">
        <f t="shared" si="24"/>
        <v>0</v>
      </c>
      <c r="P56" s="44">
        <f t="shared" si="24"/>
        <v>0</v>
      </c>
      <c r="Q56" s="44">
        <f t="shared" si="24"/>
        <v>0</v>
      </c>
      <c r="R56" s="44">
        <f t="shared" si="24"/>
        <v>0</v>
      </c>
      <c r="S56" s="44">
        <f t="shared" si="24"/>
        <v>0</v>
      </c>
      <c r="T56" s="44">
        <f t="shared" si="24"/>
        <v>0</v>
      </c>
      <c r="U56" s="44">
        <f t="shared" si="24"/>
        <v>0</v>
      </c>
      <c r="V56" s="44">
        <f t="shared" si="24"/>
        <v>0</v>
      </c>
      <c r="W56" s="44">
        <f t="shared" si="24"/>
        <v>0</v>
      </c>
      <c r="X56" s="1"/>
      <c r="Y56" s="1"/>
      <c r="Z56" s="1"/>
      <c r="AA56" s="1"/>
      <c r="AB56" s="1"/>
      <c r="AC56" s="1"/>
    </row>
    <row r="57" spans="1:2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</sheetData>
  <mergeCells count="5">
    <mergeCell ref="B47:I47"/>
    <mergeCell ref="B4:F4"/>
    <mergeCell ref="B15:F15"/>
    <mergeCell ref="B27:F27"/>
    <mergeCell ref="B37:I37"/>
  </mergeCells>
  <dataValidations count="2">
    <dataValidation type="list" allowBlank="1" showInputMessage="1" showErrorMessage="1" sqref="H10 H55" xr:uid="{F7DF095D-7648-4E59-9C05-3483436B3C37}">
      <formula1>"1,2,4,Cont"</formula1>
    </dataValidation>
    <dataValidation type="list" allowBlank="1" showInputMessage="1" showErrorMessage="1" sqref="H21" xr:uid="{AB183ACC-259A-45C3-8999-5F190ECCE467}">
      <formula1>"1,2,4,12,Cont"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3F752-69E2-4C64-9AFB-94CD930917B5}">
  <sheetPr codeName="Sheet3"/>
  <dimension ref="A1:AT174"/>
  <sheetViews>
    <sheetView topLeftCell="A3" workbookViewId="0">
      <selection activeCell="I33" sqref="I33"/>
    </sheetView>
  </sheetViews>
  <sheetFormatPr defaultRowHeight="15" x14ac:dyDescent="0.25"/>
  <cols>
    <col min="2" max="2" width="36.5703125" bestFit="1" customWidth="1"/>
    <col min="14" max="14" width="9.140625" customWidth="1"/>
  </cols>
  <sheetData>
    <row r="1" spans="1:3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ht="20.25" thickBot="1" x14ac:dyDescent="0.35">
      <c r="A3" s="1"/>
      <c r="B3" s="2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15.75" thickTop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 ht="18" thickBot="1" x14ac:dyDescent="0.35">
      <c r="A5" s="1"/>
      <c r="B5" s="145" t="s">
        <v>12</v>
      </c>
      <c r="C5" s="145"/>
      <c r="D5" s="145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 ht="15.75" thickTop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 ht="15.75" thickBot="1" x14ac:dyDescent="0.3">
      <c r="A7" s="1"/>
      <c r="B7" s="1" t="s">
        <v>3</v>
      </c>
      <c r="C7" s="1"/>
      <c r="D7" s="1"/>
      <c r="E7" s="1"/>
      <c r="F7" s="1" t="s">
        <v>15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 x14ac:dyDescent="0.25">
      <c r="A8" s="1"/>
      <c r="B8" s="8" t="s">
        <v>4</v>
      </c>
      <c r="C8" s="9" t="s">
        <v>5</v>
      </c>
      <c r="D8" s="122">
        <v>50</v>
      </c>
      <c r="E8" s="1"/>
      <c r="F8" s="146" t="s">
        <v>16</v>
      </c>
      <c r="G8" s="147"/>
      <c r="H8" s="7">
        <f>D8*D9*D12*(D11/(360/D10))</f>
        <v>0.18527777777777776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x14ac:dyDescent="0.25">
      <c r="A9" s="1"/>
      <c r="B9" s="11" t="s">
        <v>200</v>
      </c>
      <c r="C9" s="1" t="s">
        <v>7</v>
      </c>
      <c r="D9" s="123">
        <v>4.5999999999999999E-2</v>
      </c>
      <c r="E9" s="1"/>
      <c r="F9" s="11"/>
      <c r="G9" s="1"/>
      <c r="H9" s="12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x14ac:dyDescent="0.25">
      <c r="A10" s="1"/>
      <c r="B10" s="11" t="s">
        <v>8</v>
      </c>
      <c r="C10" s="1" t="s">
        <v>9</v>
      </c>
      <c r="D10" s="124">
        <v>4</v>
      </c>
      <c r="E10" s="1"/>
      <c r="F10" s="11" t="s">
        <v>17</v>
      </c>
      <c r="G10" s="1"/>
      <c r="H10" s="20">
        <f>D8*D13</f>
        <v>51.725000000000001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 ht="15.75" thickBot="1" x14ac:dyDescent="0.3">
      <c r="A11" s="1"/>
      <c r="B11" s="11" t="s">
        <v>25</v>
      </c>
      <c r="C11" s="1" t="s">
        <v>14</v>
      </c>
      <c r="D11" s="124">
        <v>29</v>
      </c>
      <c r="E11" s="1"/>
      <c r="F11" s="148" t="s">
        <v>13</v>
      </c>
      <c r="G11" s="149"/>
      <c r="H11" s="19">
        <f>H10+H8</f>
        <v>51.910277777777779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x14ac:dyDescent="0.25">
      <c r="A12" s="1"/>
      <c r="B12" s="11" t="s">
        <v>10</v>
      </c>
      <c r="C12" s="15" t="s">
        <v>11</v>
      </c>
      <c r="D12" s="116">
        <f>1/D10</f>
        <v>0.25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ht="15.75" thickBot="1" x14ac:dyDescent="0.3">
      <c r="A13" s="1"/>
      <c r="B13" s="13" t="s">
        <v>62</v>
      </c>
      <c r="C13" s="14"/>
      <c r="D13" s="125">
        <v>1.0345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ht="18" thickBot="1" x14ac:dyDescent="0.35">
      <c r="A16" s="1"/>
      <c r="B16" s="17" t="s">
        <v>18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ht="15.75" thickTop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ht="15.75" thickBot="1" x14ac:dyDescent="0.3">
      <c r="A18" s="1"/>
      <c r="B18" s="1" t="s">
        <v>3</v>
      </c>
      <c r="C18" s="1"/>
      <c r="D18" s="1"/>
      <c r="E18" s="1"/>
      <c r="F18" s="1" t="s">
        <v>15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x14ac:dyDescent="0.25">
      <c r="A19" s="1"/>
      <c r="B19" s="8" t="s">
        <v>19</v>
      </c>
      <c r="C19" s="9" t="s">
        <v>5</v>
      </c>
      <c r="D19" s="21">
        <v>100</v>
      </c>
      <c r="E19" s="1"/>
      <c r="F19" s="8" t="s">
        <v>21</v>
      </c>
      <c r="G19" s="9">
        <v>0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9">
        <v>6</v>
      </c>
      <c r="N19" s="9">
        <v>7</v>
      </c>
      <c r="O19" s="9">
        <v>8</v>
      </c>
      <c r="P19" s="9">
        <v>9</v>
      </c>
      <c r="Q19" s="9">
        <v>10</v>
      </c>
      <c r="R19" s="9">
        <v>11</v>
      </c>
      <c r="S19" s="9">
        <v>12</v>
      </c>
      <c r="T19" s="9">
        <v>13</v>
      </c>
      <c r="U19" s="9">
        <v>14</v>
      </c>
      <c r="V19" s="9">
        <v>15</v>
      </c>
      <c r="W19" s="10">
        <v>16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x14ac:dyDescent="0.25">
      <c r="A20" s="1"/>
      <c r="B20" s="11" t="s">
        <v>56</v>
      </c>
      <c r="C20" s="1" t="s">
        <v>7</v>
      </c>
      <c r="D20" s="22">
        <v>4.1700000000000001E-2</v>
      </c>
      <c r="E20" s="1"/>
      <c r="F20" s="11" t="s">
        <v>22</v>
      </c>
      <c r="G20" s="1"/>
      <c r="H20" s="1" cm="1">
        <f t="array" ref="H20">IF(TYPE($D$21)=1, $D$22*H19, Cont)</f>
        <v>0.5</v>
      </c>
      <c r="I20" s="1" cm="1">
        <f t="array" ref="I20">IF(TYPE($D$21)=1, $D$22*I19, Cont)</f>
        <v>1</v>
      </c>
      <c r="J20" s="1" cm="1">
        <f t="array" ref="J20">IF(TYPE($D$21)=1, $D$22*J19, Cont)</f>
        <v>1.5</v>
      </c>
      <c r="K20" s="1" cm="1">
        <f t="array" ref="K20">IF(TYPE($D$21)=1, $D$22*K19, Cont)</f>
        <v>2</v>
      </c>
      <c r="L20" s="1" cm="1">
        <f t="array" ref="L20">IF(TYPE($D$21)=1, $D$22*L19, Cont)</f>
        <v>2.5</v>
      </c>
      <c r="M20" s="1" cm="1">
        <f t="array" ref="M20">IF(TYPE($D$21)=1, $D$22*M19, Cont)</f>
        <v>3</v>
      </c>
      <c r="N20" s="1" cm="1">
        <f t="array" ref="N20">IF(TYPE($D$21)=1, $D$22*N19, Cont)</f>
        <v>3.5</v>
      </c>
      <c r="O20" s="1" cm="1">
        <f t="array" ref="O20">IF(TYPE($D$21)=1, $D$22*O19, Cont)</f>
        <v>4</v>
      </c>
      <c r="P20" s="1" cm="1">
        <f t="array" ref="P20">IF(TYPE($D$21)=1, $D$22*P19, Cont)</f>
        <v>4.5</v>
      </c>
      <c r="Q20" s="1" cm="1">
        <f t="array" ref="Q20">IF(TYPE($D$21)=1, $D$22*Q19, Cont)</f>
        <v>5</v>
      </c>
      <c r="R20" s="1" cm="1">
        <f t="array" ref="R20">IF(TYPE($D$21)=1, $D$22*R19, Cont)</f>
        <v>5.5</v>
      </c>
      <c r="S20" s="1" cm="1">
        <f t="array" ref="S20">IF(TYPE($D$21)=1, $D$22*S19, Cont)</f>
        <v>6</v>
      </c>
      <c r="T20" s="1" cm="1">
        <f t="array" ref="T20">IF(TYPE($D$21)=1, $D$22*T19, Cont)</f>
        <v>6.5</v>
      </c>
      <c r="U20" s="1" cm="1">
        <f t="array" ref="U20">IF(TYPE($D$21)=1, $D$22*U19, Cont)</f>
        <v>7</v>
      </c>
      <c r="V20" s="1" cm="1">
        <f t="array" ref="V20">IF(TYPE($D$21)=1, $D$22*V19, Cont)</f>
        <v>7.5</v>
      </c>
      <c r="W20" s="12" cm="1">
        <f t="array" ref="W20">IF(TYPE($D$21)=1, $D$22*W19, Cont)</f>
        <v>8</v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x14ac:dyDescent="0.25">
      <c r="A21" s="1"/>
      <c r="B21" s="11" t="s">
        <v>8</v>
      </c>
      <c r="C21" s="1" t="s">
        <v>9</v>
      </c>
      <c r="D21" s="23">
        <v>2</v>
      </c>
      <c r="E21" s="1"/>
      <c r="F21" s="11" t="s">
        <v>23</v>
      </c>
      <c r="G21" s="1"/>
      <c r="H21" s="1">
        <f>IF(H19&lt;=$D$23, $D$19 * $D$20 * $D$22, 0)</f>
        <v>2.085</v>
      </c>
      <c r="I21" s="1">
        <f t="shared" ref="I21:W21" si="0">IF(I19&lt;=$D$23, $D$19 * $D$20 * $D$22, 0)</f>
        <v>2.085</v>
      </c>
      <c r="J21" s="1">
        <f t="shared" si="0"/>
        <v>2.085</v>
      </c>
      <c r="K21" s="1">
        <f t="shared" si="0"/>
        <v>2.085</v>
      </c>
      <c r="L21" s="1">
        <f t="shared" si="0"/>
        <v>0</v>
      </c>
      <c r="M21" s="1">
        <f t="shared" si="0"/>
        <v>0</v>
      </c>
      <c r="N21" s="1">
        <f t="shared" si="0"/>
        <v>0</v>
      </c>
      <c r="O21" s="1">
        <f t="shared" si="0"/>
        <v>0</v>
      </c>
      <c r="P21" s="1">
        <f t="shared" si="0"/>
        <v>0</v>
      </c>
      <c r="Q21" s="1">
        <f t="shared" si="0"/>
        <v>0</v>
      </c>
      <c r="R21" s="1">
        <f t="shared" si="0"/>
        <v>0</v>
      </c>
      <c r="S21" s="1">
        <f t="shared" si="0"/>
        <v>0</v>
      </c>
      <c r="T21" s="1">
        <f t="shared" si="0"/>
        <v>0</v>
      </c>
      <c r="U21" s="1">
        <f t="shared" si="0"/>
        <v>0</v>
      </c>
      <c r="V21" s="1">
        <f t="shared" si="0"/>
        <v>0</v>
      </c>
      <c r="W21" s="12">
        <f t="shared" si="0"/>
        <v>0</v>
      </c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x14ac:dyDescent="0.25">
      <c r="A22" s="1"/>
      <c r="B22" s="11" t="s">
        <v>20</v>
      </c>
      <c r="C22" s="15" t="s">
        <v>11</v>
      </c>
      <c r="D22" s="6">
        <f>1/D21</f>
        <v>0.5</v>
      </c>
      <c r="E22" s="1"/>
      <c r="F22" s="11" t="s">
        <v>24</v>
      </c>
      <c r="G22" s="1"/>
      <c r="H22" s="1">
        <f>IF(H19=$D$23, $D$19, 0)</f>
        <v>0</v>
      </c>
      <c r="I22" s="1">
        <f t="shared" ref="I22:W22" si="1">IF(I19=$D$23, $D$19, 0)</f>
        <v>0</v>
      </c>
      <c r="J22" s="1">
        <f t="shared" si="1"/>
        <v>0</v>
      </c>
      <c r="K22" s="1">
        <f t="shared" si="1"/>
        <v>100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P22" s="1">
        <f t="shared" si="1"/>
        <v>0</v>
      </c>
      <c r="Q22" s="1">
        <f t="shared" si="1"/>
        <v>0</v>
      </c>
      <c r="R22" s="1">
        <f t="shared" si="1"/>
        <v>0</v>
      </c>
      <c r="S22" s="1">
        <f t="shared" si="1"/>
        <v>0</v>
      </c>
      <c r="T22" s="1">
        <f t="shared" si="1"/>
        <v>0</v>
      </c>
      <c r="U22" s="1">
        <f t="shared" si="1"/>
        <v>0</v>
      </c>
      <c r="V22" s="1">
        <f t="shared" si="1"/>
        <v>0</v>
      </c>
      <c r="W22" s="12">
        <f t="shared" si="1"/>
        <v>0</v>
      </c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ht="15.75" thickBot="1" x14ac:dyDescent="0.3">
      <c r="A23" s="1"/>
      <c r="B23" s="11" t="s">
        <v>61</v>
      </c>
      <c r="C23" s="1"/>
      <c r="D23" s="24">
        <v>4</v>
      </c>
      <c r="E23" s="1"/>
      <c r="F23" s="13" t="s">
        <v>28</v>
      </c>
      <c r="G23" s="14"/>
      <c r="H23" s="14">
        <f>H22+H21</f>
        <v>2.085</v>
      </c>
      <c r="I23" s="14">
        <f t="shared" ref="I23:W23" si="2">I22+I21</f>
        <v>2.085</v>
      </c>
      <c r="J23" s="14">
        <f t="shared" si="2"/>
        <v>2.085</v>
      </c>
      <c r="K23" s="14">
        <f t="shared" si="2"/>
        <v>102.08499999999999</v>
      </c>
      <c r="L23" s="14">
        <f t="shared" si="2"/>
        <v>0</v>
      </c>
      <c r="M23" s="14">
        <f t="shared" si="2"/>
        <v>0</v>
      </c>
      <c r="N23" s="14">
        <f t="shared" si="2"/>
        <v>0</v>
      </c>
      <c r="O23" s="14">
        <f t="shared" si="2"/>
        <v>0</v>
      </c>
      <c r="P23" s="14">
        <f t="shared" si="2"/>
        <v>0</v>
      </c>
      <c r="Q23" s="14">
        <f t="shared" si="2"/>
        <v>0</v>
      </c>
      <c r="R23" s="14">
        <f t="shared" si="2"/>
        <v>0</v>
      </c>
      <c r="S23" s="14">
        <f t="shared" si="2"/>
        <v>0</v>
      </c>
      <c r="T23" s="14">
        <f t="shared" si="2"/>
        <v>0</v>
      </c>
      <c r="U23" s="14">
        <f t="shared" si="2"/>
        <v>0</v>
      </c>
      <c r="V23" s="14">
        <f t="shared" si="2"/>
        <v>0</v>
      </c>
      <c r="W23" s="26">
        <f t="shared" si="2"/>
        <v>0</v>
      </c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ht="15.75" thickBot="1" x14ac:dyDescent="0.3">
      <c r="A24" s="1"/>
      <c r="B24" s="11" t="s">
        <v>25</v>
      </c>
      <c r="C24" s="1" t="s">
        <v>14</v>
      </c>
      <c r="D24" s="24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ht="15.75" thickBot="1" x14ac:dyDescent="0.3">
      <c r="A25" s="1"/>
      <c r="B25" s="13" t="s">
        <v>131</v>
      </c>
      <c r="C25" s="14"/>
      <c r="D25" s="25">
        <v>112.47</v>
      </c>
      <c r="E25" s="1"/>
      <c r="F25" s="8" t="s">
        <v>32</v>
      </c>
      <c r="G25" s="9"/>
      <c r="H25" s="9" t="s">
        <v>33</v>
      </c>
      <c r="I25" s="9" t="s">
        <v>34</v>
      </c>
      <c r="J25" s="9"/>
      <c r="K25" s="9" t="s">
        <v>27</v>
      </c>
      <c r="L25" s="9"/>
      <c r="M25" s="9"/>
      <c r="N25" s="10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x14ac:dyDescent="0.25">
      <c r="A26" s="1"/>
      <c r="B26" s="1"/>
      <c r="C26" s="1"/>
      <c r="D26" s="1"/>
      <c r="E26" s="1"/>
      <c r="F26" s="11" t="s">
        <v>29</v>
      </c>
      <c r="G26" s="1"/>
      <c r="H26" s="1">
        <v>1</v>
      </c>
      <c r="I26" s="27" cm="1">
        <f t="array" ref="I26">SUMPRODUCT($H$23:$W$23,(1+(N26/H26))^(-H26*($H$20:$W$20-($D$24/360))))</f>
        <v>109.36239896132392</v>
      </c>
      <c r="K26" s="1">
        <f>D25</f>
        <v>112.47</v>
      </c>
      <c r="L26" s="28"/>
      <c r="M26" s="29" t="s">
        <v>35</v>
      </c>
      <c r="N26" s="30">
        <v>-4.8238935573608798E-3</v>
      </c>
      <c r="O26" s="1"/>
      <c r="P26" s="1" t="s">
        <v>36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x14ac:dyDescent="0.25">
      <c r="A27" s="1"/>
      <c r="B27" s="1" t="s">
        <v>37</v>
      </c>
      <c r="C27" s="1"/>
      <c r="D27" s="1"/>
      <c r="E27" s="1"/>
      <c r="F27" s="31" t="s">
        <v>26</v>
      </c>
      <c r="G27" s="32"/>
      <c r="H27">
        <v>2</v>
      </c>
      <c r="I27" s="27" cm="1">
        <f t="array" ref="I27">SUMPRODUCT($H$23:$W$23,(1+(N27/H27))^(-H27*($H$20:$W$20-($D$24/360))))</f>
        <v>112.46981876956633</v>
      </c>
      <c r="J27" s="1"/>
      <c r="K27" s="1">
        <f>D25</f>
        <v>112.47</v>
      </c>
      <c r="L27" s="1"/>
      <c r="M27" s="29" t="s">
        <v>35</v>
      </c>
      <c r="N27" s="30">
        <v>-1.9162803663777539E-2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 x14ac:dyDescent="0.25">
      <c r="A28" s="1"/>
      <c r="B28" s="1"/>
      <c r="C28" s="1"/>
      <c r="D28" s="1"/>
      <c r="E28" s="1"/>
      <c r="F28" s="31" t="s">
        <v>30</v>
      </c>
      <c r="G28" s="32"/>
      <c r="H28" s="1">
        <v>4</v>
      </c>
      <c r="I28" s="27" cm="1">
        <f t="array" ref="I28">SUMPRODUCT($H$23:$W$23,(1+(N28/H28))^(-H28*($H$20:$W$20-($D$24/360))))</f>
        <v>109.36239807444854</v>
      </c>
      <c r="J28" s="1"/>
      <c r="K28" s="1">
        <f>D25</f>
        <v>112.47</v>
      </c>
      <c r="L28" s="1"/>
      <c r="M28" s="29" t="s">
        <v>35</v>
      </c>
      <c r="N28" s="30">
        <v>-4.8326402554808683E-3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 ht="15.75" thickBot="1" x14ac:dyDescent="0.3">
      <c r="A29" s="1"/>
      <c r="B29" s="1"/>
      <c r="C29" s="1"/>
      <c r="D29" s="1"/>
      <c r="E29" s="1"/>
      <c r="F29" s="33" t="s">
        <v>31</v>
      </c>
      <c r="G29" s="34"/>
      <c r="H29" s="14"/>
      <c r="I29" s="35" cm="1">
        <f t="array" ref="I29">SUMPRODUCT($H$23:$W$23,EXP(-N29*($H$20:$W$20-($D$24/360))))</f>
        <v>109.36239819535028</v>
      </c>
      <c r="J29" s="14"/>
      <c r="K29" s="14">
        <f>D25</f>
        <v>112.47</v>
      </c>
      <c r="L29" s="14"/>
      <c r="M29" s="36" t="s">
        <v>35</v>
      </c>
      <c r="N29" s="37">
        <v>-4.8355624795138729E-3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ht="18" thickBot="1" x14ac:dyDescent="0.35">
      <c r="A33" s="1"/>
      <c r="B33" s="144" t="s">
        <v>53</v>
      </c>
      <c r="C33" s="144"/>
      <c r="D33" s="144"/>
      <c r="E33" s="144"/>
      <c r="F33" s="144"/>
      <c r="G33" s="144"/>
      <c r="H33" s="144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ht="15.75" thickTop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 s="1"/>
      <c r="B35" s="1" t="s">
        <v>54</v>
      </c>
      <c r="C35" s="1"/>
      <c r="D35" s="1"/>
      <c r="E35" s="3" t="str">
        <f>HYPERLINK("#Rate and discount!B4", "Interest rate -&gt; Discount factor")</f>
        <v>Interest rate -&gt; Discount factor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ht="15.75" thickBot="1" x14ac:dyDescent="0.3">
      <c r="A37" s="1"/>
      <c r="B37" s="1" t="s">
        <v>3</v>
      </c>
      <c r="C37" s="1"/>
      <c r="D37" s="1"/>
      <c r="E37" s="1"/>
      <c r="F37" s="1" t="s">
        <v>15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x14ac:dyDescent="0.25">
      <c r="A38" s="1"/>
      <c r="B38" s="8" t="s">
        <v>8</v>
      </c>
      <c r="C38" s="9" t="s">
        <v>9</v>
      </c>
      <c r="D38" s="41">
        <v>2</v>
      </c>
      <c r="E38" s="1"/>
      <c r="F38" s="8" t="s">
        <v>21</v>
      </c>
      <c r="G38" s="9">
        <v>0</v>
      </c>
      <c r="H38" s="9">
        <v>1</v>
      </c>
      <c r="I38" s="9">
        <v>2</v>
      </c>
      <c r="J38" s="9">
        <v>3</v>
      </c>
      <c r="K38" s="9">
        <v>4</v>
      </c>
      <c r="L38" s="9">
        <v>5</v>
      </c>
      <c r="M38" s="9">
        <v>6</v>
      </c>
      <c r="N38" s="9">
        <v>7</v>
      </c>
      <c r="O38" s="9">
        <v>8</v>
      </c>
      <c r="P38" s="9">
        <v>9</v>
      </c>
      <c r="Q38" s="9">
        <v>10</v>
      </c>
      <c r="R38" s="9">
        <v>11</v>
      </c>
      <c r="S38" s="9">
        <v>12</v>
      </c>
      <c r="T38" s="9">
        <v>13</v>
      </c>
      <c r="U38" s="9">
        <v>14</v>
      </c>
      <c r="V38" s="9">
        <v>15</v>
      </c>
      <c r="W38" s="10">
        <v>16</v>
      </c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x14ac:dyDescent="0.25">
      <c r="A39" s="1"/>
      <c r="B39" s="11" t="s">
        <v>20</v>
      </c>
      <c r="C39" s="15" t="s">
        <v>11</v>
      </c>
      <c r="D39" s="6">
        <f>1/D38</f>
        <v>0.5</v>
      </c>
      <c r="E39" s="1"/>
      <c r="F39" s="11" t="s">
        <v>22</v>
      </c>
      <c r="G39" s="1"/>
      <c r="H39" s="1">
        <f t="shared" ref="H39:W39" si="3">H38*$D$39</f>
        <v>0.5</v>
      </c>
      <c r="I39" s="1">
        <f t="shared" si="3"/>
        <v>1</v>
      </c>
      <c r="J39" s="1">
        <f t="shared" si="3"/>
        <v>1.5</v>
      </c>
      <c r="K39" s="1">
        <f t="shared" si="3"/>
        <v>2</v>
      </c>
      <c r="L39" s="1">
        <f t="shared" si="3"/>
        <v>2.5</v>
      </c>
      <c r="M39" s="1">
        <f t="shared" si="3"/>
        <v>3</v>
      </c>
      <c r="N39" s="1">
        <f t="shared" si="3"/>
        <v>3.5</v>
      </c>
      <c r="O39" s="1">
        <f t="shared" si="3"/>
        <v>4</v>
      </c>
      <c r="P39" s="1">
        <f t="shared" si="3"/>
        <v>4.5</v>
      </c>
      <c r="Q39" s="1">
        <f t="shared" si="3"/>
        <v>5</v>
      </c>
      <c r="R39" s="1">
        <f t="shared" si="3"/>
        <v>5.5</v>
      </c>
      <c r="S39" s="1">
        <f t="shared" si="3"/>
        <v>6</v>
      </c>
      <c r="T39" s="1">
        <f t="shared" si="3"/>
        <v>6.5</v>
      </c>
      <c r="U39" s="1">
        <f t="shared" si="3"/>
        <v>7</v>
      </c>
      <c r="V39" s="1">
        <f t="shared" si="3"/>
        <v>7.5</v>
      </c>
      <c r="W39" s="12">
        <f t="shared" si="3"/>
        <v>8</v>
      </c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ht="15.75" thickBot="1" x14ac:dyDescent="0.3">
      <c r="A40" s="1"/>
      <c r="B40" s="13" t="s">
        <v>61</v>
      </c>
      <c r="C40" s="14"/>
      <c r="D40" s="25">
        <v>4</v>
      </c>
      <c r="E40" s="1"/>
      <c r="F40" s="13" t="s">
        <v>47</v>
      </c>
      <c r="G40" s="14"/>
      <c r="H40" s="42">
        <v>0.98509999999999998</v>
      </c>
      <c r="I40" s="42">
        <v>0.96950000000000003</v>
      </c>
      <c r="J40" s="42">
        <v>0.95740000000000003</v>
      </c>
      <c r="K40" s="42">
        <v>0.94550000000000001</v>
      </c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25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ht="15.75" thickBot="1" x14ac:dyDescent="0.3">
      <c r="A42" s="1"/>
      <c r="B42" s="1"/>
      <c r="C42" s="1"/>
      <c r="D42" s="1"/>
      <c r="E42" s="1"/>
      <c r="F42" s="43" t="s">
        <v>6</v>
      </c>
      <c r="G42" s="44"/>
      <c r="H42" s="45" t="s">
        <v>55</v>
      </c>
      <c r="I42" s="46" cm="1">
        <f t="array" ref="I42">(1-INDEX($H$40:$W$40, $D$40))/($D$39*SUM($H$40:$W$40))</f>
        <v>2.8256642903434864E-2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ht="18" thickBot="1" x14ac:dyDescent="0.35">
      <c r="A45" s="1"/>
      <c r="B45" s="144" t="s">
        <v>57</v>
      </c>
      <c r="C45" s="144"/>
      <c r="D45" s="144"/>
      <c r="E45" s="144"/>
      <c r="F45" s="144"/>
      <c r="G45" s="144"/>
      <c r="H45" s="144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ht="15.75" thickTop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ht="15.75" thickBot="1" x14ac:dyDescent="0.3">
      <c r="A48" s="1"/>
      <c r="B48" s="1" t="s">
        <v>3</v>
      </c>
      <c r="C48" s="1"/>
      <c r="D48" s="1"/>
      <c r="E48" s="1"/>
      <c r="F48" s="1" t="s">
        <v>15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46" x14ac:dyDescent="0.25">
      <c r="A49" s="1"/>
      <c r="B49" s="8" t="s">
        <v>8</v>
      </c>
      <c r="C49" s="9" t="s">
        <v>9</v>
      </c>
      <c r="D49" s="41">
        <v>2</v>
      </c>
      <c r="E49" s="1"/>
      <c r="F49" s="8" t="s">
        <v>21</v>
      </c>
      <c r="G49" s="9">
        <v>0</v>
      </c>
      <c r="H49" s="9">
        <v>1</v>
      </c>
      <c r="I49" s="9">
        <v>2</v>
      </c>
      <c r="J49" s="9">
        <v>3</v>
      </c>
      <c r="K49" s="9">
        <v>4</v>
      </c>
      <c r="L49" s="9">
        <v>5</v>
      </c>
      <c r="M49" s="9">
        <v>6</v>
      </c>
      <c r="N49" s="9">
        <v>7</v>
      </c>
      <c r="O49" s="9">
        <v>8</v>
      </c>
      <c r="P49" s="9">
        <v>9</v>
      </c>
      <c r="Q49" s="9">
        <v>10</v>
      </c>
      <c r="R49" s="9">
        <v>11</v>
      </c>
      <c r="S49" s="9">
        <v>12</v>
      </c>
      <c r="T49" s="9">
        <v>13</v>
      </c>
      <c r="U49" s="9">
        <v>14</v>
      </c>
      <c r="V49" s="9">
        <v>15</v>
      </c>
      <c r="W49" s="10">
        <v>16</v>
      </c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46" x14ac:dyDescent="0.25">
      <c r="A50" s="1"/>
      <c r="B50" s="11" t="s">
        <v>20</v>
      </c>
      <c r="C50" s="15" t="s">
        <v>11</v>
      </c>
      <c r="D50" s="6">
        <f>1/D49</f>
        <v>0.5</v>
      </c>
      <c r="E50" s="1"/>
      <c r="F50" s="11" t="s">
        <v>22</v>
      </c>
      <c r="G50" s="1"/>
      <c r="H50" s="1">
        <f>H49*$D$50</f>
        <v>0.5</v>
      </c>
      <c r="I50" s="1">
        <f t="shared" ref="I50:W50" si="4">I49*$D$50</f>
        <v>1</v>
      </c>
      <c r="J50" s="1">
        <f t="shared" si="4"/>
        <v>1.5</v>
      </c>
      <c r="K50" s="1">
        <f t="shared" si="4"/>
        <v>2</v>
      </c>
      <c r="L50" s="1">
        <f t="shared" si="4"/>
        <v>2.5</v>
      </c>
      <c r="M50" s="1">
        <f t="shared" si="4"/>
        <v>3</v>
      </c>
      <c r="N50" s="1">
        <f t="shared" si="4"/>
        <v>3.5</v>
      </c>
      <c r="O50" s="1">
        <f t="shared" si="4"/>
        <v>4</v>
      </c>
      <c r="P50" s="1">
        <f t="shared" si="4"/>
        <v>4.5</v>
      </c>
      <c r="Q50" s="1">
        <f t="shared" si="4"/>
        <v>5</v>
      </c>
      <c r="R50" s="1">
        <f t="shared" si="4"/>
        <v>5.5</v>
      </c>
      <c r="S50" s="1">
        <f t="shared" si="4"/>
        <v>6</v>
      </c>
      <c r="T50" s="1">
        <f t="shared" si="4"/>
        <v>6.5</v>
      </c>
      <c r="U50" s="1">
        <f t="shared" si="4"/>
        <v>7</v>
      </c>
      <c r="V50" s="1">
        <f t="shared" si="4"/>
        <v>7.5</v>
      </c>
      <c r="W50" s="12">
        <f t="shared" si="4"/>
        <v>8</v>
      </c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46" ht="15.75" thickBot="1" x14ac:dyDescent="0.3">
      <c r="A51" s="1"/>
      <c r="B51" s="11" t="s">
        <v>61</v>
      </c>
      <c r="C51" s="1"/>
      <c r="D51" s="24">
        <v>4</v>
      </c>
      <c r="E51" s="1"/>
      <c r="F51" s="13" t="s">
        <v>47</v>
      </c>
      <c r="G51" s="14">
        <v>1</v>
      </c>
      <c r="H51" s="42">
        <v>0.983525100255774</v>
      </c>
      <c r="I51" s="42">
        <v>0.96640255854947044</v>
      </c>
      <c r="J51" s="42">
        <v>0.95281549162235912</v>
      </c>
      <c r="K51" s="42">
        <v>0.93946812259648538</v>
      </c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25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46" x14ac:dyDescent="0.25">
      <c r="A52" s="1"/>
      <c r="B52" s="11" t="s">
        <v>56</v>
      </c>
      <c r="C52" s="1" t="s">
        <v>7</v>
      </c>
      <c r="D52" s="22">
        <v>3.56E-2</v>
      </c>
      <c r="E52" s="1"/>
      <c r="F52" s="8" t="s">
        <v>23</v>
      </c>
      <c r="G52" s="9"/>
      <c r="H52" s="9">
        <f>IF(H49&lt;=$D$51, $D$53*$D$50*$D$52, 0)</f>
        <v>1.78</v>
      </c>
      <c r="I52" s="9">
        <f t="shared" ref="I52:W52" si="5">IF(I49&lt;=$D$51, $D$53*$D$50*$D$52, 0)</f>
        <v>1.78</v>
      </c>
      <c r="J52" s="9">
        <f t="shared" si="5"/>
        <v>1.78</v>
      </c>
      <c r="K52" s="9">
        <f t="shared" si="5"/>
        <v>1.78</v>
      </c>
      <c r="L52" s="9">
        <f t="shared" si="5"/>
        <v>0</v>
      </c>
      <c r="M52" s="9">
        <f t="shared" si="5"/>
        <v>0</v>
      </c>
      <c r="N52" s="9">
        <f t="shared" si="5"/>
        <v>0</v>
      </c>
      <c r="O52" s="9">
        <f t="shared" si="5"/>
        <v>0</v>
      </c>
      <c r="P52" s="9">
        <f t="shared" si="5"/>
        <v>0</v>
      </c>
      <c r="Q52" s="9">
        <f t="shared" si="5"/>
        <v>0</v>
      </c>
      <c r="R52" s="9">
        <f t="shared" si="5"/>
        <v>0</v>
      </c>
      <c r="S52" s="9">
        <f t="shared" si="5"/>
        <v>0</v>
      </c>
      <c r="T52" s="9">
        <f t="shared" si="5"/>
        <v>0</v>
      </c>
      <c r="U52" s="9">
        <f t="shared" si="5"/>
        <v>0</v>
      </c>
      <c r="V52" s="9">
        <f t="shared" si="5"/>
        <v>0</v>
      </c>
      <c r="W52" s="10">
        <f t="shared" si="5"/>
        <v>0</v>
      </c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46" ht="15.75" thickBot="1" x14ac:dyDescent="0.3">
      <c r="A53" s="1"/>
      <c r="B53" s="13" t="s">
        <v>58</v>
      </c>
      <c r="C53" s="14" t="s">
        <v>5</v>
      </c>
      <c r="D53" s="25">
        <v>100</v>
      </c>
      <c r="E53" s="1"/>
      <c r="F53" s="11" t="s">
        <v>24</v>
      </c>
      <c r="G53" s="1"/>
      <c r="H53" s="1">
        <f>IF(H49=$D$51, $D$53, 0)</f>
        <v>0</v>
      </c>
      <c r="I53" s="1">
        <f t="shared" ref="I53:W53" si="6">IF(I49=$D$51, $D$53, 0)</f>
        <v>0</v>
      </c>
      <c r="J53" s="1">
        <f t="shared" si="6"/>
        <v>0</v>
      </c>
      <c r="K53" s="1">
        <f t="shared" si="6"/>
        <v>100</v>
      </c>
      <c r="L53" s="1">
        <f t="shared" si="6"/>
        <v>0</v>
      </c>
      <c r="M53" s="1">
        <f t="shared" si="6"/>
        <v>0</v>
      </c>
      <c r="N53" s="1">
        <f t="shared" si="6"/>
        <v>0</v>
      </c>
      <c r="O53" s="1">
        <f t="shared" si="6"/>
        <v>0</v>
      </c>
      <c r="P53" s="1">
        <f t="shared" si="6"/>
        <v>0</v>
      </c>
      <c r="Q53" s="1">
        <f t="shared" si="6"/>
        <v>0</v>
      </c>
      <c r="R53" s="1">
        <f t="shared" si="6"/>
        <v>0</v>
      </c>
      <c r="S53" s="1">
        <f t="shared" si="6"/>
        <v>0</v>
      </c>
      <c r="T53" s="1">
        <f t="shared" si="6"/>
        <v>0</v>
      </c>
      <c r="U53" s="1">
        <f t="shared" si="6"/>
        <v>0</v>
      </c>
      <c r="V53" s="1">
        <f t="shared" si="6"/>
        <v>0</v>
      </c>
      <c r="W53" s="12">
        <f t="shared" si="6"/>
        <v>0</v>
      </c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</row>
    <row r="54" spans="1:46" ht="15.75" thickBot="1" x14ac:dyDescent="0.3">
      <c r="A54" s="1"/>
      <c r="B54" s="1"/>
      <c r="C54" s="1"/>
      <c r="D54" s="1"/>
      <c r="E54" s="1"/>
      <c r="F54" s="13" t="s">
        <v>28</v>
      </c>
      <c r="G54" s="14"/>
      <c r="H54" s="14">
        <f>H52+H53</f>
        <v>1.78</v>
      </c>
      <c r="I54" s="14">
        <f t="shared" ref="I54:W54" si="7">I52+I53</f>
        <v>1.78</v>
      </c>
      <c r="J54" s="14">
        <f t="shared" si="7"/>
        <v>1.78</v>
      </c>
      <c r="K54" s="14">
        <f t="shared" si="7"/>
        <v>101.78</v>
      </c>
      <c r="L54" s="14">
        <f t="shared" si="7"/>
        <v>0</v>
      </c>
      <c r="M54" s="14">
        <f t="shared" si="7"/>
        <v>0</v>
      </c>
      <c r="N54" s="14">
        <f t="shared" si="7"/>
        <v>0</v>
      </c>
      <c r="O54" s="14">
        <f t="shared" si="7"/>
        <v>0</v>
      </c>
      <c r="P54" s="14">
        <f t="shared" si="7"/>
        <v>0</v>
      </c>
      <c r="Q54" s="14">
        <f t="shared" si="7"/>
        <v>0</v>
      </c>
      <c r="R54" s="14">
        <f t="shared" si="7"/>
        <v>0</v>
      </c>
      <c r="S54" s="14">
        <f t="shared" si="7"/>
        <v>0</v>
      </c>
      <c r="T54" s="14">
        <f t="shared" si="7"/>
        <v>0</v>
      </c>
      <c r="U54" s="14">
        <f t="shared" si="7"/>
        <v>0</v>
      </c>
      <c r="V54" s="14">
        <f t="shared" si="7"/>
        <v>0</v>
      </c>
      <c r="W54" s="26">
        <f t="shared" si="7"/>
        <v>0</v>
      </c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</row>
    <row r="55" spans="1:46" ht="15.75" thickBot="1" x14ac:dyDescent="0.3">
      <c r="A55" s="1"/>
      <c r="B55" s="1"/>
      <c r="C55" s="1"/>
      <c r="D55" s="1"/>
      <c r="E55" s="1"/>
      <c r="F55" s="43" t="s">
        <v>60</v>
      </c>
      <c r="G55" s="44"/>
      <c r="H55" s="44">
        <f>H54*H51</f>
        <v>1.7506746784552778</v>
      </c>
      <c r="I55" s="44">
        <f t="shared" ref="I55:W55" si="8">I54*I51</f>
        <v>1.7201965542180575</v>
      </c>
      <c r="J55" s="44">
        <f t="shared" si="8"/>
        <v>1.6960115750877993</v>
      </c>
      <c r="K55" s="44">
        <f t="shared" si="8"/>
        <v>95.619065517870283</v>
      </c>
      <c r="L55" s="44">
        <f t="shared" si="8"/>
        <v>0</v>
      </c>
      <c r="M55" s="44">
        <f t="shared" si="8"/>
        <v>0</v>
      </c>
      <c r="N55" s="44">
        <f t="shared" si="8"/>
        <v>0</v>
      </c>
      <c r="O55" s="44">
        <f t="shared" si="8"/>
        <v>0</v>
      </c>
      <c r="P55" s="44">
        <f t="shared" si="8"/>
        <v>0</v>
      </c>
      <c r="Q55" s="44">
        <f t="shared" si="8"/>
        <v>0</v>
      </c>
      <c r="R55" s="44">
        <f t="shared" si="8"/>
        <v>0</v>
      </c>
      <c r="S55" s="44">
        <f t="shared" si="8"/>
        <v>0</v>
      </c>
      <c r="T55" s="44">
        <f t="shared" si="8"/>
        <v>0</v>
      </c>
      <c r="U55" s="44">
        <f t="shared" si="8"/>
        <v>0</v>
      </c>
      <c r="V55" s="44">
        <f t="shared" si="8"/>
        <v>0</v>
      </c>
      <c r="W55" s="47">
        <f t="shared" si="8"/>
        <v>0</v>
      </c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</row>
    <row r="56" spans="1:46" ht="15.75" thickBo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</row>
    <row r="57" spans="1:46" ht="15.75" thickBot="1" x14ac:dyDescent="0.3">
      <c r="A57" s="1"/>
      <c r="B57" s="1"/>
      <c r="C57" s="1"/>
      <c r="D57" s="1"/>
      <c r="E57" s="1"/>
      <c r="F57" s="43" t="s">
        <v>59</v>
      </c>
      <c r="G57" s="44"/>
      <c r="H57" s="64">
        <f>SUM(H55:W55)</f>
        <v>100.78594832563142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</row>
    <row r="58" spans="1:4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</row>
    <row r="59" spans="1:4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</row>
    <row r="60" spans="1:4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</row>
    <row r="61" spans="1:46" ht="18" thickBot="1" x14ac:dyDescent="0.35">
      <c r="A61" s="1"/>
      <c r="B61" s="144" t="s">
        <v>108</v>
      </c>
      <c r="C61" s="144"/>
      <c r="D61" s="144"/>
      <c r="E61" s="144"/>
      <c r="F61" s="144"/>
      <c r="G61" s="144"/>
      <c r="H61" s="144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</row>
    <row r="62" spans="1:46" ht="16.5" thickTop="1" thickBo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</row>
    <row r="63" spans="1:46" ht="15.75" thickBot="1" x14ac:dyDescent="0.3">
      <c r="A63" s="1"/>
      <c r="B63" s="1" t="s">
        <v>3</v>
      </c>
      <c r="C63" s="1"/>
      <c r="D63" s="1"/>
      <c r="E63" s="1"/>
      <c r="F63" s="107" t="s">
        <v>123</v>
      </c>
      <c r="G63" s="108" t="s">
        <v>124</v>
      </c>
      <c r="H63" s="108" t="s">
        <v>125</v>
      </c>
      <c r="I63" s="108" t="s">
        <v>109</v>
      </c>
      <c r="J63" s="109" t="s">
        <v>126</v>
      </c>
      <c r="K63" s="1"/>
      <c r="L63" s="1" t="s">
        <v>111</v>
      </c>
      <c r="M63" s="1"/>
      <c r="N63" s="1" t="s">
        <v>113</v>
      </c>
      <c r="O63" s="1"/>
      <c r="P63" s="1"/>
      <c r="Q63" s="1"/>
      <c r="R63" s="1"/>
      <c r="T63" s="1"/>
      <c r="U63" s="1" t="s">
        <v>115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</row>
    <row r="64" spans="1:46" x14ac:dyDescent="0.25">
      <c r="A64" s="1"/>
      <c r="B64" s="8" t="s">
        <v>8</v>
      </c>
      <c r="C64" s="9" t="s">
        <v>9</v>
      </c>
      <c r="D64" s="41">
        <v>2</v>
      </c>
      <c r="E64" s="1"/>
      <c r="F64" s="5">
        <v>1</v>
      </c>
      <c r="G64" s="18">
        <v>99.072800000000001</v>
      </c>
      <c r="H64" s="105">
        <v>2.1999999999999999E-2</v>
      </c>
      <c r="I64" s="18">
        <v>100</v>
      </c>
      <c r="J64" s="24">
        <v>1</v>
      </c>
      <c r="K64" s="1"/>
      <c r="L64" s="95">
        <f>G64</f>
        <v>99.072800000000001</v>
      </c>
      <c r="M64" s="1"/>
      <c r="N64" s="98">
        <f>IF(AND(N$69&lt;=$D$66, $F64&lt;=$D$67),IF(N$69=$D$66,  $H64*$I64*$D$65 + $I64, $H64*$I64*$D$65), 0)</f>
        <v>1.0999999999999999</v>
      </c>
      <c r="O64" s="99">
        <f t="shared" ref="O64:R68" si="9">IF(AND(O$69&lt;=$D$66, $F64&lt;=$D$67),IF(O$69=$D$66,  $H64*$I64*$D$65 + $I64, $H64*$I64*$D$65), 0)</f>
        <v>101.1</v>
      </c>
      <c r="P64" s="99">
        <f t="shared" si="9"/>
        <v>0</v>
      </c>
      <c r="Q64" s="99">
        <f t="shared" si="9"/>
        <v>0</v>
      </c>
      <c r="R64" s="21">
        <f t="shared" si="9"/>
        <v>0</v>
      </c>
      <c r="S64" s="110">
        <v>1</v>
      </c>
      <c r="T64" s="1"/>
      <c r="U64" s="102" t="s">
        <v>118</v>
      </c>
      <c r="V64" s="1"/>
      <c r="W64" s="1"/>
      <c r="X64" s="102">
        <v>0.98529810526313744</v>
      </c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</row>
    <row r="65" spans="1:46" x14ac:dyDescent="0.25">
      <c r="A65" s="1"/>
      <c r="B65" s="11" t="s">
        <v>20</v>
      </c>
      <c r="C65" s="15" t="s">
        <v>11</v>
      </c>
      <c r="D65" s="6">
        <f>1/D64</f>
        <v>0.5</v>
      </c>
      <c r="E65" s="1"/>
      <c r="F65" s="11">
        <v>2</v>
      </c>
      <c r="G65" s="18">
        <v>50.000599999999999</v>
      </c>
      <c r="H65" s="105">
        <v>3.15E-2</v>
      </c>
      <c r="I65" s="18">
        <v>50</v>
      </c>
      <c r="J65" s="24">
        <v>1</v>
      </c>
      <c r="K65" s="1"/>
      <c r="L65" s="96">
        <f>G65</f>
        <v>50.000599999999999</v>
      </c>
      <c r="M65" s="1"/>
      <c r="N65" s="100">
        <f t="shared" ref="N65:N68" si="10">IF(AND(N$69&lt;=$D$66, $F65&lt;=$D$67),IF(N$69=$D$66,  $H65*$I65*$D$65 + $I65, $H65*$I65*$D$65), 0)</f>
        <v>0.78749999999999998</v>
      </c>
      <c r="O65" s="18">
        <f t="shared" si="9"/>
        <v>50.787500000000001</v>
      </c>
      <c r="P65" s="18">
        <f t="shared" si="9"/>
        <v>0</v>
      </c>
      <c r="Q65" s="18">
        <f t="shared" si="9"/>
        <v>0</v>
      </c>
      <c r="R65" s="24">
        <f t="shared" si="9"/>
        <v>0</v>
      </c>
      <c r="S65" s="110">
        <v>2</v>
      </c>
      <c r="T65" s="1"/>
      <c r="U65" s="103" t="s">
        <v>119</v>
      </c>
      <c r="V65" s="1"/>
      <c r="W65" s="1"/>
      <c r="X65" s="103">
        <v>0.96922821052631647</v>
      </c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</row>
    <row r="66" spans="1:46" x14ac:dyDescent="0.25">
      <c r="A66" s="1"/>
      <c r="B66" s="11" t="s">
        <v>127</v>
      </c>
      <c r="D66" s="24">
        <v>2</v>
      </c>
      <c r="E66" s="1"/>
      <c r="F66" s="11">
        <v>3</v>
      </c>
      <c r="G66" s="18">
        <v>0</v>
      </c>
      <c r="H66" s="105">
        <v>0</v>
      </c>
      <c r="I66" s="18">
        <v>0</v>
      </c>
      <c r="J66" s="24">
        <v>0</v>
      </c>
      <c r="K66" s="1"/>
      <c r="L66" s="96">
        <f>G66</f>
        <v>0</v>
      </c>
      <c r="M66" s="69" t="s">
        <v>112</v>
      </c>
      <c r="N66" s="100">
        <f t="shared" si="10"/>
        <v>0</v>
      </c>
      <c r="O66" s="18">
        <f t="shared" si="9"/>
        <v>0</v>
      </c>
      <c r="P66" s="18">
        <f t="shared" si="9"/>
        <v>0</v>
      </c>
      <c r="Q66" s="18">
        <f t="shared" si="9"/>
        <v>0</v>
      </c>
      <c r="R66" s="24">
        <f t="shared" si="9"/>
        <v>0</v>
      </c>
      <c r="S66" s="110">
        <v>3</v>
      </c>
      <c r="T66" s="69" t="s">
        <v>114</v>
      </c>
      <c r="U66" s="103" t="s">
        <v>120</v>
      </c>
      <c r="V66" s="29" t="s">
        <v>116</v>
      </c>
      <c r="W66" s="29" t="s">
        <v>117</v>
      </c>
      <c r="X66" s="103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</row>
    <row r="67" spans="1:46" ht="15.75" thickBot="1" x14ac:dyDescent="0.3">
      <c r="A67" s="1"/>
      <c r="B67" s="13" t="s">
        <v>110</v>
      </c>
      <c r="C67" s="14"/>
      <c r="D67" s="25">
        <v>2</v>
      </c>
      <c r="E67" s="1"/>
      <c r="F67" s="11">
        <v>4</v>
      </c>
      <c r="G67" s="18">
        <v>0</v>
      </c>
      <c r="H67" s="105">
        <v>0</v>
      </c>
      <c r="I67" s="18">
        <v>0</v>
      </c>
      <c r="J67" s="24">
        <v>0</v>
      </c>
      <c r="K67" s="1"/>
      <c r="L67" s="96">
        <f>G67</f>
        <v>0</v>
      </c>
      <c r="M67" s="1"/>
      <c r="N67" s="100">
        <f t="shared" si="10"/>
        <v>0</v>
      </c>
      <c r="O67" s="18">
        <f t="shared" si="9"/>
        <v>0</v>
      </c>
      <c r="P67" s="18">
        <f t="shared" si="9"/>
        <v>0</v>
      </c>
      <c r="Q67" s="18">
        <f t="shared" si="9"/>
        <v>0</v>
      </c>
      <c r="R67" s="24">
        <f t="shared" si="9"/>
        <v>0</v>
      </c>
      <c r="S67" s="110">
        <v>4</v>
      </c>
      <c r="T67" s="1"/>
      <c r="U67" s="103" t="s">
        <v>121</v>
      </c>
      <c r="V67" s="1"/>
      <c r="W67" s="1"/>
      <c r="X67" s="103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</row>
    <row r="68" spans="1:46" ht="15.75" thickBot="1" x14ac:dyDescent="0.3">
      <c r="A68" s="1"/>
      <c r="C68" s="1"/>
      <c r="D68" s="1"/>
      <c r="E68" s="1"/>
      <c r="F68" s="13">
        <v>5</v>
      </c>
      <c r="G68" s="42">
        <v>0</v>
      </c>
      <c r="H68" s="106">
        <v>0</v>
      </c>
      <c r="I68" s="42">
        <v>0</v>
      </c>
      <c r="J68" s="25">
        <v>0</v>
      </c>
      <c r="K68" s="1"/>
      <c r="L68" s="97">
        <f>G68</f>
        <v>0</v>
      </c>
      <c r="M68" s="1"/>
      <c r="N68" s="101">
        <f t="shared" si="10"/>
        <v>0</v>
      </c>
      <c r="O68" s="42">
        <f t="shared" si="9"/>
        <v>0</v>
      </c>
      <c r="P68" s="42">
        <f t="shared" si="9"/>
        <v>0</v>
      </c>
      <c r="Q68" s="42">
        <f t="shared" si="9"/>
        <v>0</v>
      </c>
      <c r="R68" s="25">
        <f t="shared" si="9"/>
        <v>0</v>
      </c>
      <c r="S68" s="110">
        <v>5</v>
      </c>
      <c r="T68" s="1"/>
      <c r="U68" s="104" t="s">
        <v>122</v>
      </c>
      <c r="V68" s="1"/>
      <c r="W68" s="1"/>
      <c r="X68" s="104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</row>
    <row r="69" spans="1:4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10">
        <v>1</v>
      </c>
      <c r="O69" s="110">
        <v>2</v>
      </c>
      <c r="P69" s="110">
        <v>3</v>
      </c>
      <c r="Q69" s="110">
        <v>4</v>
      </c>
      <c r="R69" s="110">
        <v>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</row>
    <row r="70" spans="1:46" ht="15.75" thickBot="1" x14ac:dyDescent="0.3">
      <c r="A70" s="1"/>
      <c r="B70" s="1"/>
      <c r="C70" s="1"/>
      <c r="D70" s="1"/>
      <c r="E70" s="1"/>
      <c r="F70" s="1" t="s">
        <v>129</v>
      </c>
      <c r="G70" s="1"/>
      <c r="H70" s="1"/>
      <c r="I70" s="1"/>
      <c r="J70" s="1"/>
      <c r="K70" s="1"/>
      <c r="L70" s="1"/>
      <c r="M70" s="1"/>
      <c r="N70" s="1" t="s">
        <v>128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</row>
    <row r="71" spans="1:46" x14ac:dyDescent="0.25">
      <c r="A71" s="1"/>
      <c r="B71" s="1"/>
      <c r="C71" s="1"/>
      <c r="D71" s="1"/>
      <c r="E71" s="1"/>
      <c r="F71" s="1" t="s">
        <v>130</v>
      </c>
      <c r="G71" s="1"/>
      <c r="H71" s="1"/>
      <c r="I71" s="1"/>
      <c r="J71" s="1"/>
      <c r="K71" s="1"/>
      <c r="L71" s="1"/>
      <c r="M71" s="1"/>
      <c r="N71" s="111">
        <v>-2.1384210526315797</v>
      </c>
      <c r="O71" s="112">
        <v>4.2568421052631589</v>
      </c>
      <c r="P71" s="112"/>
      <c r="Q71" s="112"/>
      <c r="R71" s="113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</row>
    <row r="72" spans="1:4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14">
        <v>3.3157894736842115E-2</v>
      </c>
      <c r="O72" s="115">
        <v>-4.631578947368422E-2</v>
      </c>
      <c r="P72" s="115"/>
      <c r="Q72" s="115"/>
      <c r="R72" s="116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</row>
    <row r="73" spans="1:4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14"/>
      <c r="O73" s="115"/>
      <c r="P73" s="115"/>
      <c r="Q73" s="115"/>
      <c r="R73" s="116"/>
      <c r="S73" s="1"/>
      <c r="T73" s="1"/>
      <c r="U73" s="1"/>
      <c r="V73" s="1"/>
      <c r="W73" s="29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</row>
    <row r="74" spans="1:4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14"/>
      <c r="O74" s="115"/>
      <c r="P74" s="115"/>
      <c r="Q74" s="115"/>
      <c r="R74" s="116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</row>
    <row r="75" spans="1:46" ht="15.75" thickBo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17"/>
      <c r="O75" s="118"/>
      <c r="P75" s="118"/>
      <c r="Q75" s="118"/>
      <c r="R75" s="119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</row>
    <row r="76" spans="1:4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</row>
    <row r="77" spans="1:4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</row>
    <row r="78" spans="1:4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</row>
    <row r="79" spans="1:4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</row>
    <row r="80" spans="1:4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</row>
    <row r="81" spans="1:4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</row>
    <row r="82" spans="1:4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</row>
    <row r="83" spans="1:4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</row>
    <row r="84" spans="1:4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</row>
    <row r="85" spans="1:4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</row>
    <row r="86" spans="1:4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</row>
    <row r="87" spans="1:4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4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4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4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4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4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4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4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4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4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</sheetData>
  <mergeCells count="6">
    <mergeCell ref="B61:H61"/>
    <mergeCell ref="B33:H33"/>
    <mergeCell ref="B45:H45"/>
    <mergeCell ref="B5:D5"/>
    <mergeCell ref="F8:G8"/>
    <mergeCell ref="F11:G11"/>
  </mergeCells>
  <conditionalFormatting sqref="F64:F68 L64:L68 N64:R68">
    <cfRule type="expression" dxfId="34" priority="25">
      <formula>$F64 &gt; $D$67</formula>
    </cfRule>
    <cfRule type="expression" dxfId="33" priority="26">
      <formula>$F64 &lt;= $D$67</formula>
    </cfRule>
  </conditionalFormatting>
  <conditionalFormatting sqref="F64:F68 X64:X68">
    <cfRule type="expression" dxfId="32" priority="4">
      <formula>$F64&gt;$D$67</formula>
    </cfRule>
    <cfRule type="expression" dxfId="31" priority="5">
      <formula>$F64 &lt;= $D$67</formula>
    </cfRule>
  </conditionalFormatting>
  <conditionalFormatting sqref="F64:J68">
    <cfRule type="expression" dxfId="30" priority="23">
      <formula>$F64 &gt; $D$67</formula>
    </cfRule>
    <cfRule type="expression" dxfId="29" priority="24">
      <formula>$F64&lt;=$D$67</formula>
    </cfRule>
  </conditionalFormatting>
  <conditionalFormatting sqref="N64:R68">
    <cfRule type="expression" dxfId="28" priority="6">
      <formula>N$69 &gt; $D$66</formula>
    </cfRule>
  </conditionalFormatting>
  <dataValidations count="2">
    <dataValidation type="list" allowBlank="1" showInputMessage="1" showErrorMessage="1" sqref="D21 D38 D49 D64" xr:uid="{3C6B4766-2E96-4404-970B-5807C3EDB4AF}">
      <formula1>"1,2,4,Continuous"</formula1>
    </dataValidation>
    <dataValidation type="list" allowBlank="1" showInputMessage="1" showErrorMessage="1" sqref="X69" xr:uid="{2E72FF22-E34D-4FCD-A5CB-2B26DCE8AE9F}">
      <formula1>"1,2,4,Cont"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9F87-AFA5-47CE-9558-56FF04E99F14}">
  <sheetPr codeName="Sheet7"/>
  <dimension ref="B1:W256"/>
  <sheetViews>
    <sheetView workbookViewId="0">
      <selection activeCell="D14" sqref="D14"/>
    </sheetView>
  </sheetViews>
  <sheetFormatPr defaultRowHeight="15" x14ac:dyDescent="0.25"/>
  <cols>
    <col min="2" max="2" width="21.140625" bestFit="1" customWidth="1"/>
  </cols>
  <sheetData>
    <row r="1" spans="2:23" s="1" customFormat="1" x14ac:dyDescent="0.25"/>
    <row r="2" spans="2:23" s="1" customFormat="1" ht="20.25" thickBot="1" x14ac:dyDescent="0.35">
      <c r="B2" s="150" t="s">
        <v>132</v>
      </c>
      <c r="C2" s="150"/>
      <c r="D2" s="150"/>
      <c r="E2" s="150"/>
    </row>
    <row r="3" spans="2:23" s="1" customFormat="1" ht="15.75" thickTop="1" x14ac:dyDescent="0.25"/>
    <row r="4" spans="2:23" s="1" customFormat="1" x14ac:dyDescent="0.25"/>
    <row r="5" spans="2:23" s="1" customFormat="1" ht="15.75" thickBot="1" x14ac:dyDescent="0.3">
      <c r="B5" s="1" t="s">
        <v>43</v>
      </c>
    </row>
    <row r="6" spans="2:23" s="1" customFormat="1" x14ac:dyDescent="0.25">
      <c r="B6" s="8" t="s">
        <v>49</v>
      </c>
      <c r="C6" s="9" t="s">
        <v>9</v>
      </c>
      <c r="D6" s="48">
        <v>2</v>
      </c>
      <c r="F6" s="49" t="s">
        <v>21</v>
      </c>
      <c r="G6" s="50">
        <v>0</v>
      </c>
      <c r="H6" s="50">
        <v>1</v>
      </c>
      <c r="I6" s="50">
        <v>2</v>
      </c>
      <c r="J6" s="50">
        <v>3</v>
      </c>
      <c r="K6" s="50">
        <v>4</v>
      </c>
      <c r="L6" s="50">
        <v>5</v>
      </c>
      <c r="M6" s="50">
        <v>6</v>
      </c>
      <c r="N6" s="50">
        <v>7</v>
      </c>
      <c r="O6" s="50">
        <v>8</v>
      </c>
      <c r="P6" s="50">
        <v>9</v>
      </c>
      <c r="Q6" s="50">
        <v>10</v>
      </c>
      <c r="R6" s="50">
        <v>11</v>
      </c>
      <c r="S6" s="50">
        <v>12</v>
      </c>
      <c r="T6" s="50">
        <v>13</v>
      </c>
      <c r="U6" s="50">
        <v>14</v>
      </c>
      <c r="V6" s="50">
        <v>15</v>
      </c>
      <c r="W6" s="51">
        <v>16</v>
      </c>
    </row>
    <row r="7" spans="2:23" s="1" customFormat="1" x14ac:dyDescent="0.25">
      <c r="B7" s="11" t="s">
        <v>10</v>
      </c>
      <c r="C7" s="15" t="s">
        <v>11</v>
      </c>
      <c r="D7" s="6">
        <f>1/D6</f>
        <v>0.5</v>
      </c>
      <c r="F7" s="52" t="s">
        <v>22</v>
      </c>
      <c r="G7" s="53">
        <f>$D$8*G6</f>
        <v>0</v>
      </c>
      <c r="H7" s="53">
        <f>H6*$D$7</f>
        <v>0.5</v>
      </c>
      <c r="I7" s="53">
        <f t="shared" ref="I7:W7" si="0">I6*$D$7</f>
        <v>1</v>
      </c>
      <c r="J7" s="53">
        <f t="shared" si="0"/>
        <v>1.5</v>
      </c>
      <c r="K7" s="53">
        <f t="shared" si="0"/>
        <v>2</v>
      </c>
      <c r="L7" s="53">
        <f t="shared" si="0"/>
        <v>2.5</v>
      </c>
      <c r="M7" s="53">
        <f t="shared" si="0"/>
        <v>3</v>
      </c>
      <c r="N7" s="53">
        <f t="shared" si="0"/>
        <v>3.5</v>
      </c>
      <c r="O7" s="53">
        <f t="shared" si="0"/>
        <v>4</v>
      </c>
      <c r="P7" s="53">
        <f t="shared" si="0"/>
        <v>4.5</v>
      </c>
      <c r="Q7" s="53">
        <f t="shared" si="0"/>
        <v>5</v>
      </c>
      <c r="R7" s="53">
        <f t="shared" si="0"/>
        <v>5.5</v>
      </c>
      <c r="S7" s="53">
        <f t="shared" si="0"/>
        <v>6</v>
      </c>
      <c r="T7" s="53">
        <f t="shared" si="0"/>
        <v>6.5</v>
      </c>
      <c r="U7" s="53">
        <f t="shared" si="0"/>
        <v>7</v>
      </c>
      <c r="V7" s="53">
        <f t="shared" si="0"/>
        <v>7.5</v>
      </c>
      <c r="W7" s="54">
        <f t="shared" si="0"/>
        <v>8</v>
      </c>
    </row>
    <row r="8" spans="2:23" s="1" customFormat="1" ht="15.75" thickBot="1" x14ac:dyDescent="0.3">
      <c r="B8" s="11" t="s">
        <v>63</v>
      </c>
      <c r="C8" s="1" t="s">
        <v>50</v>
      </c>
      <c r="D8" s="24">
        <v>0</v>
      </c>
      <c r="F8" s="55" t="s">
        <v>47</v>
      </c>
      <c r="G8" s="56">
        <v>1</v>
      </c>
      <c r="H8" s="42">
        <v>0.983525100255774</v>
      </c>
      <c r="I8" s="42">
        <v>0.96640255854947044</v>
      </c>
      <c r="J8" s="42">
        <v>0.95281549162235912</v>
      </c>
      <c r="K8" s="42">
        <v>0.93946812259648538</v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25"/>
    </row>
    <row r="9" spans="2:23" s="1" customFormat="1" ht="15.75" thickBot="1" x14ac:dyDescent="0.3">
      <c r="B9" s="11" t="s">
        <v>138</v>
      </c>
      <c r="C9" s="1" t="s">
        <v>7</v>
      </c>
      <c r="D9" s="129">
        <v>3.56E-2</v>
      </c>
    </row>
    <row r="10" spans="2:23" s="1" customFormat="1" ht="15.75" thickBot="1" x14ac:dyDescent="0.3">
      <c r="B10" s="13" t="s">
        <v>19</v>
      </c>
      <c r="C10" s="14" t="s">
        <v>5</v>
      </c>
      <c r="D10" s="25">
        <v>100</v>
      </c>
      <c r="F10" s="59" t="s">
        <v>64</v>
      </c>
      <c r="G10" s="60">
        <v>1</v>
      </c>
      <c r="H10" s="60">
        <f>IF(H8=0, 0, (G8*$D$8+H8*(360*$D$7-$D$8))/(360*$D$7))</f>
        <v>0.983525100255774</v>
      </c>
      <c r="I10" s="60">
        <f t="shared" ref="I10:W10" si="1">IF(I8=0, 0, (H8*$D$8+I8*(360*$D$7-$D$8))/(360*$D$7))</f>
        <v>0.96640255854947044</v>
      </c>
      <c r="J10" s="60">
        <f t="shared" si="1"/>
        <v>0.95281549162235912</v>
      </c>
      <c r="K10" s="60">
        <f t="shared" si="1"/>
        <v>0.93946812259648538</v>
      </c>
      <c r="L10" s="60">
        <f t="shared" si="1"/>
        <v>0</v>
      </c>
      <c r="M10" s="60">
        <f t="shared" si="1"/>
        <v>0</v>
      </c>
      <c r="N10" s="60">
        <f t="shared" si="1"/>
        <v>0</v>
      </c>
      <c r="O10" s="60">
        <f t="shared" si="1"/>
        <v>0</v>
      </c>
      <c r="P10" s="60">
        <f t="shared" si="1"/>
        <v>0</v>
      </c>
      <c r="Q10" s="60">
        <f t="shared" si="1"/>
        <v>0</v>
      </c>
      <c r="R10" s="60">
        <f t="shared" si="1"/>
        <v>0</v>
      </c>
      <c r="S10" s="60">
        <f t="shared" si="1"/>
        <v>0</v>
      </c>
      <c r="T10" s="60">
        <f t="shared" si="1"/>
        <v>0</v>
      </c>
      <c r="U10" s="60">
        <f t="shared" si="1"/>
        <v>0</v>
      </c>
      <c r="V10" s="60">
        <f t="shared" si="1"/>
        <v>0</v>
      </c>
      <c r="W10" s="60">
        <f t="shared" si="1"/>
        <v>0</v>
      </c>
    </row>
    <row r="11" spans="2:23" s="1" customFormat="1" ht="15.75" thickBot="1" x14ac:dyDescent="0.3"/>
    <row r="12" spans="2:23" s="1" customFormat="1" ht="15.75" thickBot="1" x14ac:dyDescent="0.3">
      <c r="B12" s="1" t="s">
        <v>139</v>
      </c>
      <c r="F12" s="59" t="s">
        <v>133</v>
      </c>
      <c r="G12" s="120"/>
      <c r="H12" s="126">
        <v>1.78</v>
      </c>
      <c r="I12" s="126">
        <v>1.78</v>
      </c>
      <c r="J12" s="126">
        <v>1.78</v>
      </c>
      <c r="K12" s="126">
        <v>101.78</v>
      </c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7"/>
    </row>
    <row r="13" spans="2:23" s="1" customFormat="1" ht="15.75" thickBot="1" x14ac:dyDescent="0.3">
      <c r="B13" s="3" t="s">
        <v>140</v>
      </c>
    </row>
    <row r="14" spans="2:23" s="1" customFormat="1" x14ac:dyDescent="0.25">
      <c r="F14" s="128" t="s">
        <v>131</v>
      </c>
      <c r="H14" s="139">
        <f>SUMPRODUCT(H12:W12, H10:W10)</f>
        <v>100.78594832563142</v>
      </c>
    </row>
    <row r="15" spans="2:23" s="1" customFormat="1" x14ac:dyDescent="0.25">
      <c r="F15" s="128" t="s">
        <v>136</v>
      </c>
      <c r="H15" s="140" cm="1">
        <f t="array" ref="H15">SUMPRODUCT(H10:W10, H12:W12, H7:W7-($D$8/360)) / $H$14</f>
        <v>1.9484629112913361</v>
      </c>
    </row>
    <row r="16" spans="2:23" s="1" customFormat="1" ht="15.75" thickBot="1" x14ac:dyDescent="0.3">
      <c r="F16" s="128" t="s">
        <v>137</v>
      </c>
      <c r="H16" s="141" cm="1">
        <f t="array" ref="H16">SUMPRODUCT(H10:W10, H12:W12, (H7:W7-($D$8/360))^2) / $H$14</f>
        <v>3.8542094388417012</v>
      </c>
    </row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</sheetData>
  <mergeCells count="1">
    <mergeCell ref="B2:E2"/>
  </mergeCells>
  <hyperlinks>
    <hyperlink ref="B13" location="'Bond pricing'!B45" display="Bond pricing" xr:uid="{0D98254A-219B-468B-A198-E1787663D10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4B1CC-A810-43EF-BD32-D524E5A2EAFD}">
  <sheetPr codeName="Sheet4"/>
  <dimension ref="B2:AR72"/>
  <sheetViews>
    <sheetView zoomScale="95" zoomScaleNormal="95" workbookViewId="0">
      <selection activeCell="C33" sqref="C33"/>
    </sheetView>
  </sheetViews>
  <sheetFormatPr defaultRowHeight="15" x14ac:dyDescent="0.25"/>
  <cols>
    <col min="1" max="1" width="9.140625" style="1"/>
    <col min="2" max="2" width="20.7109375" style="1" bestFit="1" customWidth="1"/>
    <col min="3" max="5" width="9.140625" style="1"/>
    <col min="6" max="6" width="22.140625" style="1" bestFit="1" customWidth="1"/>
    <col min="7" max="25" width="9.140625" style="1"/>
    <col min="26" max="26" width="11.85546875" style="1" bestFit="1" customWidth="1"/>
    <col min="27" max="16384" width="9.140625" style="1"/>
  </cols>
  <sheetData>
    <row r="2" spans="2:7" ht="20.25" thickBot="1" x14ac:dyDescent="0.35">
      <c r="B2" s="150" t="s">
        <v>77</v>
      </c>
      <c r="C2" s="150"/>
      <c r="D2" s="150"/>
    </row>
    <row r="3" spans="2:7" ht="15.75" thickTop="1" x14ac:dyDescent="0.25"/>
    <row r="5" spans="2:7" ht="18" thickBot="1" x14ac:dyDescent="0.35">
      <c r="B5" s="144" t="s">
        <v>81</v>
      </c>
      <c r="C5" s="144"/>
      <c r="D5" s="144"/>
      <c r="E5" s="144"/>
    </row>
    <row r="6" spans="2:7" ht="15.75" thickTop="1" x14ac:dyDescent="0.25"/>
    <row r="7" spans="2:7" ht="15.75" thickBot="1" x14ac:dyDescent="0.3">
      <c r="B7" s="1" t="s">
        <v>3</v>
      </c>
      <c r="F7" s="1" t="s">
        <v>15</v>
      </c>
    </row>
    <row r="8" spans="2:7" ht="15.75" thickBot="1" x14ac:dyDescent="0.3">
      <c r="B8" s="8" t="s">
        <v>88</v>
      </c>
      <c r="C8" s="9" t="s">
        <v>89</v>
      </c>
      <c r="D8" s="16">
        <v>12.15</v>
      </c>
      <c r="F8" s="43" t="s">
        <v>86</v>
      </c>
      <c r="G8" s="47">
        <f>D8*(1+D11)^(D9-D10)</f>
        <v>12.23425190509416</v>
      </c>
    </row>
    <row r="9" spans="2:7" x14ac:dyDescent="0.25">
      <c r="B9" s="11" t="s">
        <v>82</v>
      </c>
      <c r="C9" s="1" t="s">
        <v>83</v>
      </c>
      <c r="D9" s="66">
        <f>125/360</f>
        <v>0.34722222222222221</v>
      </c>
    </row>
    <row r="10" spans="2:7" x14ac:dyDescent="0.25">
      <c r="B10" s="11" t="s">
        <v>87</v>
      </c>
      <c r="C10" s="1" t="s">
        <v>50</v>
      </c>
      <c r="D10" s="68">
        <f>40/360</f>
        <v>0.1111111111111111</v>
      </c>
    </row>
    <row r="11" spans="2:7" ht="15.75" thickBot="1" x14ac:dyDescent="0.3">
      <c r="B11" s="13" t="s">
        <v>84</v>
      </c>
      <c r="C11" s="14" t="s">
        <v>85</v>
      </c>
      <c r="D11" s="67">
        <v>2.9700000000000001E-2</v>
      </c>
    </row>
    <row r="14" spans="2:7" ht="18" thickBot="1" x14ac:dyDescent="0.35">
      <c r="B14" s="144" t="s">
        <v>148</v>
      </c>
      <c r="C14" s="144"/>
      <c r="D14" s="144"/>
      <c r="E14" s="144"/>
      <c r="F14" s="144"/>
      <c r="G14" s="144"/>
    </row>
    <row r="15" spans="2:7" ht="15.75" thickTop="1" x14ac:dyDescent="0.25"/>
    <row r="16" spans="2:7" ht="15.75" thickBot="1" x14ac:dyDescent="0.3">
      <c r="B16" s="1" t="s">
        <v>3</v>
      </c>
      <c r="F16" s="1" t="s">
        <v>15</v>
      </c>
    </row>
    <row r="17" spans="2:44" x14ac:dyDescent="0.25">
      <c r="B17" s="8" t="s">
        <v>19</v>
      </c>
      <c r="C17" s="9" t="s">
        <v>5</v>
      </c>
      <c r="D17" s="21">
        <v>100</v>
      </c>
      <c r="F17" s="8" t="s">
        <v>21</v>
      </c>
      <c r="G17" s="9">
        <v>0</v>
      </c>
      <c r="H17" s="9">
        <v>1</v>
      </c>
      <c r="I17" s="9">
        <v>2</v>
      </c>
      <c r="J17" s="9">
        <v>3</v>
      </c>
      <c r="K17" s="9">
        <v>4</v>
      </c>
      <c r="L17" s="9">
        <v>5</v>
      </c>
      <c r="M17" s="9">
        <v>6</v>
      </c>
      <c r="N17" s="9">
        <v>7</v>
      </c>
      <c r="O17" s="9">
        <v>8</v>
      </c>
      <c r="P17" s="9">
        <v>9</v>
      </c>
      <c r="Q17" s="9">
        <v>10</v>
      </c>
      <c r="R17" s="9">
        <v>11</v>
      </c>
      <c r="S17" s="9">
        <v>12</v>
      </c>
      <c r="T17" s="9">
        <v>13</v>
      </c>
      <c r="U17" s="9">
        <v>14</v>
      </c>
      <c r="V17" s="9">
        <v>15</v>
      </c>
      <c r="W17" s="10">
        <v>16</v>
      </c>
    </row>
    <row r="18" spans="2:44" x14ac:dyDescent="0.25">
      <c r="B18" s="11" t="s">
        <v>8</v>
      </c>
      <c r="C18" s="1" t="s">
        <v>9</v>
      </c>
      <c r="D18" s="23">
        <v>2</v>
      </c>
      <c r="F18" s="11" t="s">
        <v>22</v>
      </c>
      <c r="H18" s="1" cm="1">
        <f t="array" ref="H18">IF(TYPE($D$19)=1, $D$19*H17, Cont)</f>
        <v>0.5</v>
      </c>
      <c r="I18" s="1" cm="1">
        <f t="array" ref="I18">IF(TYPE($D$19)=1, $D$19*I17, Cont)</f>
        <v>1</v>
      </c>
      <c r="J18" s="1" cm="1">
        <f t="array" ref="J18">IF(TYPE($D$19)=1, $D$19*J17, Cont)</f>
        <v>1.5</v>
      </c>
      <c r="K18" s="1" cm="1">
        <f t="array" ref="K18">IF(TYPE($D$19)=1, $D$19*K17, Cont)</f>
        <v>2</v>
      </c>
      <c r="L18" s="1" cm="1">
        <f t="array" ref="L18">IF(TYPE($D$19)=1, $D$19*L17, Cont)</f>
        <v>2.5</v>
      </c>
      <c r="M18" s="1" cm="1">
        <f t="array" ref="M18">IF(TYPE($D$19)=1, $D$19*M17, Cont)</f>
        <v>3</v>
      </c>
      <c r="N18" s="1" cm="1">
        <f t="array" ref="N18">IF(TYPE($D$19)=1, $D$19*N17, Cont)</f>
        <v>3.5</v>
      </c>
      <c r="O18" s="1" cm="1">
        <f t="array" ref="O18">IF(TYPE($D$19)=1, $D$19*O17, Cont)</f>
        <v>4</v>
      </c>
      <c r="P18" s="1" cm="1">
        <f t="array" ref="P18">IF(TYPE($D$19)=1, $D$19*P17, Cont)</f>
        <v>4.5</v>
      </c>
      <c r="Q18" s="1" cm="1">
        <f t="array" ref="Q18">IF(TYPE($D$19)=1, $D$19*Q17, Cont)</f>
        <v>5</v>
      </c>
      <c r="R18" s="1" cm="1">
        <f t="array" ref="R18">IF(TYPE($D$19)=1, $D$19*R17, Cont)</f>
        <v>5.5</v>
      </c>
      <c r="S18" s="1" cm="1">
        <f t="array" ref="S18">IF(TYPE($D$19)=1, $D$19*S17, Cont)</f>
        <v>6</v>
      </c>
      <c r="T18" s="1" cm="1">
        <f t="array" ref="T18">IF(TYPE($D$19)=1, $D$19*T17, Cont)</f>
        <v>6.5</v>
      </c>
      <c r="U18" s="1" cm="1">
        <f t="array" ref="U18">IF(TYPE($D$19)=1, $D$19*U17, Cont)</f>
        <v>7</v>
      </c>
      <c r="V18" s="1" cm="1">
        <f t="array" ref="V18">IF(TYPE($D$19)=1, $D$19*V17, Cont)</f>
        <v>7.5</v>
      </c>
      <c r="W18" s="12" cm="1">
        <f t="array" ref="W18">IF(TYPE($D$19)=1, $D$19*W17, Cont)</f>
        <v>8</v>
      </c>
    </row>
    <row r="19" spans="2:44" ht="15.75" thickBot="1" x14ac:dyDescent="0.3">
      <c r="B19" s="11" t="s">
        <v>20</v>
      </c>
      <c r="C19" s="15" t="s">
        <v>11</v>
      </c>
      <c r="D19" s="6">
        <f>1/D18</f>
        <v>0.5</v>
      </c>
      <c r="F19" s="13" t="s">
        <v>91</v>
      </c>
      <c r="G19" s="72">
        <v>1</v>
      </c>
      <c r="H19" s="70">
        <v>0.97643216359813645</v>
      </c>
      <c r="I19" s="70">
        <v>0.96779999999999999</v>
      </c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1"/>
    </row>
    <row r="20" spans="2:44" x14ac:dyDescent="0.25">
      <c r="B20" s="11" t="s">
        <v>134</v>
      </c>
      <c r="C20" s="1" t="s">
        <v>7</v>
      </c>
      <c r="D20" s="129">
        <v>3.5499999999999997E-2</v>
      </c>
    </row>
    <row r="21" spans="2:44" ht="15.75" thickBot="1" x14ac:dyDescent="0.3">
      <c r="B21" s="13" t="s">
        <v>61</v>
      </c>
      <c r="C21" s="14"/>
      <c r="D21" s="25">
        <v>3</v>
      </c>
      <c r="F21" s="1" t="s">
        <v>99</v>
      </c>
      <c r="H21" s="18">
        <v>0</v>
      </c>
      <c r="I21" s="1" t="s">
        <v>14</v>
      </c>
      <c r="J21" s="1" t="s">
        <v>152</v>
      </c>
    </row>
    <row r="22" spans="2:44" ht="15.75" thickBot="1" x14ac:dyDescent="0.3">
      <c r="F22" s="1" t="s">
        <v>104</v>
      </c>
      <c r="H22" s="151" t="s">
        <v>100</v>
      </c>
      <c r="I22" s="151"/>
      <c r="J22" s="151"/>
    </row>
    <row r="23" spans="2:44" ht="15.75" thickBot="1" x14ac:dyDescent="0.3">
      <c r="B23" s="8" t="s">
        <v>103</v>
      </c>
      <c r="C23" s="9"/>
      <c r="D23" s="7">
        <v>0.5</v>
      </c>
      <c r="F23" s="43" t="s">
        <v>64</v>
      </c>
      <c r="G23" s="121">
        <v>1</v>
      </c>
      <c r="H23" s="121">
        <f>IF(H19&gt;0, ($H$21/360/$D$19)*G19+(($D$19-($H$21/360))/$D$19)*H19, 0)</f>
        <v>0.97643216359813645</v>
      </c>
      <c r="I23" s="121">
        <f t="shared" ref="I23:W23" si="0">IF(I19&gt;0, ($H$21/360/$D$19)*H19+(($D$19-($H$21/360))/$D$19)*I19, 0)</f>
        <v>0.96779999999999999</v>
      </c>
      <c r="J23" s="121">
        <f t="shared" si="0"/>
        <v>0</v>
      </c>
      <c r="K23" s="121">
        <f t="shared" si="0"/>
        <v>0</v>
      </c>
      <c r="L23" s="121">
        <f t="shared" si="0"/>
        <v>0</v>
      </c>
      <c r="M23" s="121">
        <f t="shared" si="0"/>
        <v>0</v>
      </c>
      <c r="N23" s="121">
        <f t="shared" si="0"/>
        <v>0</v>
      </c>
      <c r="O23" s="121">
        <f t="shared" si="0"/>
        <v>0</v>
      </c>
      <c r="P23" s="121">
        <f t="shared" si="0"/>
        <v>0</v>
      </c>
      <c r="Q23" s="121">
        <f t="shared" si="0"/>
        <v>0</v>
      </c>
      <c r="R23" s="121">
        <f t="shared" si="0"/>
        <v>0</v>
      </c>
      <c r="S23" s="121">
        <f t="shared" si="0"/>
        <v>0</v>
      </c>
      <c r="T23" s="121">
        <f t="shared" si="0"/>
        <v>0</v>
      </c>
      <c r="U23" s="121">
        <f t="shared" si="0"/>
        <v>0</v>
      </c>
      <c r="V23" s="121">
        <f t="shared" si="0"/>
        <v>0</v>
      </c>
      <c r="W23" s="142">
        <f t="shared" si="0"/>
        <v>0</v>
      </c>
    </row>
    <row r="24" spans="2:44" x14ac:dyDescent="0.25">
      <c r="B24" s="11" t="s">
        <v>93</v>
      </c>
      <c r="D24" s="24">
        <v>0.5</v>
      </c>
      <c r="G24"/>
    </row>
    <row r="25" spans="2:44" ht="15.75" thickBot="1" x14ac:dyDescent="0.3">
      <c r="B25" s="13" t="s">
        <v>94</v>
      </c>
      <c r="C25" s="14"/>
      <c r="D25" s="25">
        <v>1</v>
      </c>
    </row>
    <row r="26" spans="2:44" x14ac:dyDescent="0.25">
      <c r="F26" s="89" t="s">
        <v>92</v>
      </c>
      <c r="G26" s="9" t="s">
        <v>93</v>
      </c>
      <c r="H26" s="78">
        <v>1</v>
      </c>
      <c r="I26" s="78" cm="1">
        <f t="array" ref="I26:X26">H19:W19</f>
        <v>0.97643216359813645</v>
      </c>
      <c r="J26" s="78">
        <v>0.96779999999999999</v>
      </c>
      <c r="K26" s="78">
        <v>0</v>
      </c>
      <c r="L26" s="78">
        <v>0</v>
      </c>
      <c r="M26" s="78">
        <v>0</v>
      </c>
      <c r="N26" s="78">
        <v>0</v>
      </c>
      <c r="O26" s="78">
        <v>0</v>
      </c>
      <c r="P26" s="78">
        <v>0</v>
      </c>
      <c r="Q26" s="78">
        <v>0</v>
      </c>
      <c r="R26" s="78">
        <v>0</v>
      </c>
      <c r="S26" s="78">
        <v>0</v>
      </c>
      <c r="T26" s="78">
        <v>0</v>
      </c>
      <c r="U26" s="78">
        <v>0</v>
      </c>
      <c r="V26" s="78">
        <v>0</v>
      </c>
      <c r="W26" s="78">
        <v>0</v>
      </c>
      <c r="X26" s="79">
        <v>0</v>
      </c>
      <c r="Z26" s="89" t="s">
        <v>101</v>
      </c>
      <c r="AA26" s="9" t="s">
        <v>93</v>
      </c>
      <c r="AB26" s="78">
        <v>1</v>
      </c>
      <c r="AC26" s="78">
        <f>H23</f>
        <v>0.97643216359813645</v>
      </c>
      <c r="AD26" s="78">
        <f t="shared" ref="AD26:AR26" si="1">I23</f>
        <v>0.96779999999999999</v>
      </c>
      <c r="AE26" s="78">
        <f t="shared" si="1"/>
        <v>0</v>
      </c>
      <c r="AF26" s="78">
        <f t="shared" si="1"/>
        <v>0</v>
      </c>
      <c r="AG26" s="78">
        <f t="shared" si="1"/>
        <v>0</v>
      </c>
      <c r="AH26" s="78">
        <f t="shared" si="1"/>
        <v>0</v>
      </c>
      <c r="AI26" s="78">
        <f t="shared" si="1"/>
        <v>0</v>
      </c>
      <c r="AJ26" s="78">
        <f t="shared" si="1"/>
        <v>0</v>
      </c>
      <c r="AK26" s="78">
        <f t="shared" si="1"/>
        <v>0</v>
      </c>
      <c r="AL26" s="78">
        <f t="shared" si="1"/>
        <v>0</v>
      </c>
      <c r="AM26" s="78">
        <f t="shared" si="1"/>
        <v>0</v>
      </c>
      <c r="AN26" s="78">
        <f t="shared" si="1"/>
        <v>0</v>
      </c>
      <c r="AO26" s="78">
        <f t="shared" si="1"/>
        <v>0</v>
      </c>
      <c r="AP26" s="78">
        <f t="shared" si="1"/>
        <v>0</v>
      </c>
      <c r="AQ26" s="78">
        <f t="shared" si="1"/>
        <v>0</v>
      </c>
      <c r="AR26" s="79">
        <f t="shared" si="1"/>
        <v>0</v>
      </c>
    </row>
    <row r="27" spans="2:44" x14ac:dyDescent="0.25">
      <c r="F27" s="5" t="s">
        <v>94</v>
      </c>
      <c r="G27" s="77">
        <v>1</v>
      </c>
      <c r="H27" s="53">
        <f t="shared" ref="H27:X27" si="2">G18</f>
        <v>0</v>
      </c>
      <c r="I27" s="53">
        <f t="shared" si="2"/>
        <v>0.5</v>
      </c>
      <c r="J27" s="53">
        <f t="shared" si="2"/>
        <v>1</v>
      </c>
      <c r="K27" s="53">
        <f t="shared" si="2"/>
        <v>1.5</v>
      </c>
      <c r="L27" s="53">
        <f t="shared" si="2"/>
        <v>2</v>
      </c>
      <c r="M27" s="53">
        <f t="shared" si="2"/>
        <v>2.5</v>
      </c>
      <c r="N27" s="53">
        <f t="shared" si="2"/>
        <v>3</v>
      </c>
      <c r="O27" s="53">
        <f t="shared" si="2"/>
        <v>3.5</v>
      </c>
      <c r="P27" s="53">
        <f t="shared" si="2"/>
        <v>4</v>
      </c>
      <c r="Q27" s="53">
        <f t="shared" si="2"/>
        <v>4.5</v>
      </c>
      <c r="R27" s="53">
        <f t="shared" si="2"/>
        <v>5</v>
      </c>
      <c r="S27" s="53">
        <f t="shared" si="2"/>
        <v>5.5</v>
      </c>
      <c r="T27" s="53">
        <f t="shared" si="2"/>
        <v>6</v>
      </c>
      <c r="U27" s="53">
        <f t="shared" si="2"/>
        <v>6.5</v>
      </c>
      <c r="V27" s="53">
        <f t="shared" si="2"/>
        <v>7</v>
      </c>
      <c r="W27" s="53">
        <f t="shared" si="2"/>
        <v>7.5</v>
      </c>
      <c r="X27" s="54">
        <f t="shared" si="2"/>
        <v>8</v>
      </c>
      <c r="Z27" s="5" t="s">
        <v>94</v>
      </c>
      <c r="AA27" s="77">
        <v>1</v>
      </c>
      <c r="AB27" s="53">
        <f>AA18</f>
        <v>0</v>
      </c>
      <c r="AC27" s="53">
        <f>H18</f>
        <v>0.5</v>
      </c>
      <c r="AD27" s="53">
        <f t="shared" ref="AD27:AR27" si="3">I18</f>
        <v>1</v>
      </c>
      <c r="AE27" s="53">
        <f t="shared" si="3"/>
        <v>1.5</v>
      </c>
      <c r="AF27" s="53">
        <f t="shared" si="3"/>
        <v>2</v>
      </c>
      <c r="AG27" s="53">
        <f t="shared" si="3"/>
        <v>2.5</v>
      </c>
      <c r="AH27" s="53">
        <f t="shared" si="3"/>
        <v>3</v>
      </c>
      <c r="AI27" s="53">
        <f t="shared" si="3"/>
        <v>3.5</v>
      </c>
      <c r="AJ27" s="53">
        <f t="shared" si="3"/>
        <v>4</v>
      </c>
      <c r="AK27" s="53">
        <f t="shared" si="3"/>
        <v>4.5</v>
      </c>
      <c r="AL27" s="53">
        <f t="shared" si="3"/>
        <v>5</v>
      </c>
      <c r="AM27" s="53">
        <f t="shared" si="3"/>
        <v>5.5</v>
      </c>
      <c r="AN27" s="53">
        <f t="shared" si="3"/>
        <v>6</v>
      </c>
      <c r="AO27" s="53">
        <f t="shared" si="3"/>
        <v>6.5</v>
      </c>
      <c r="AP27" s="53">
        <f t="shared" si="3"/>
        <v>7</v>
      </c>
      <c r="AQ27" s="53">
        <f t="shared" si="3"/>
        <v>7.5</v>
      </c>
      <c r="AR27" s="54">
        <f t="shared" si="3"/>
        <v>8</v>
      </c>
    </row>
    <row r="28" spans="2:44" x14ac:dyDescent="0.25">
      <c r="F28" s="11"/>
      <c r="G28" s="77">
        <f t="array" ref="G28:G43">TRANSPOSE(H19:W19)</f>
        <v>0.97643216359813645</v>
      </c>
      <c r="H28" s="53">
        <f t="array" ref="H28:H43">TRANSPOSE($H$18:$W$18)</f>
        <v>0.5</v>
      </c>
      <c r="I28" s="83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8"/>
      <c r="Z28" s="11"/>
      <c r="AA28" s="77">
        <f t="array" ref="AA28:AA43">TRANSPOSE(H23:W23)</f>
        <v>0.97643216359813645</v>
      </c>
      <c r="AB28" s="53">
        <f t="array" ref="AB28:AB43">TRANSPOSE($H$18:$W$18)</f>
        <v>0.5</v>
      </c>
      <c r="AC28" s="83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8"/>
    </row>
    <row r="29" spans="2:44" x14ac:dyDescent="0.25">
      <c r="F29" s="5"/>
      <c r="G29" s="77">
        <v>0.96779999999999999</v>
      </c>
      <c r="H29" s="53">
        <v>1</v>
      </c>
      <c r="I29" s="81">
        <f>IF($G29&gt;0, $G29/I$26, 0)</f>
        <v>0.99115948458075465</v>
      </c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5"/>
      <c r="Z29" s="5"/>
      <c r="AA29" s="77">
        <v>0.96779999999999999</v>
      </c>
      <c r="AB29" s="53">
        <v>1</v>
      </c>
      <c r="AC29" s="81">
        <f>IF($AA29&gt;0, $AA29/AC$26, 0)</f>
        <v>0.99115948458075465</v>
      </c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84"/>
      <c r="AQ29" s="84"/>
      <c r="AR29" s="85"/>
    </row>
    <row r="30" spans="2:44" x14ac:dyDescent="0.25">
      <c r="F30" s="11"/>
      <c r="G30" s="77">
        <v>0</v>
      </c>
      <c r="H30" s="53">
        <v>1.5</v>
      </c>
      <c r="I30" s="81">
        <f t="shared" ref="I30:W43" si="4">IF($G30&gt;0, $G30/I$26, 0)</f>
        <v>0</v>
      </c>
      <c r="J30" s="81">
        <f t="shared" si="4"/>
        <v>0</v>
      </c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5"/>
      <c r="Z30" s="11"/>
      <c r="AA30" s="77">
        <v>0</v>
      </c>
      <c r="AB30" s="53">
        <v>1.5</v>
      </c>
      <c r="AC30" s="81">
        <f t="shared" ref="AC30:AQ43" si="5">IF($AA30&gt;0, $AA30/AC$26, 0)</f>
        <v>0</v>
      </c>
      <c r="AD30" s="81">
        <f t="shared" si="5"/>
        <v>0</v>
      </c>
      <c r="AE30" s="84"/>
      <c r="AF30" s="84"/>
      <c r="AG30" s="84"/>
      <c r="AH30" s="84"/>
      <c r="AI30" s="84"/>
      <c r="AJ30" s="84"/>
      <c r="AK30" s="84"/>
      <c r="AL30" s="84"/>
      <c r="AM30" s="84"/>
      <c r="AN30" s="84"/>
      <c r="AO30" s="84"/>
      <c r="AP30" s="84"/>
      <c r="AQ30" s="84"/>
      <c r="AR30" s="85"/>
    </row>
    <row r="31" spans="2:44" x14ac:dyDescent="0.25">
      <c r="F31" s="11"/>
      <c r="G31" s="77">
        <v>0</v>
      </c>
      <c r="H31" s="53">
        <v>2</v>
      </c>
      <c r="I31" s="81">
        <f t="shared" si="4"/>
        <v>0</v>
      </c>
      <c r="J31" s="81">
        <f t="shared" si="4"/>
        <v>0</v>
      </c>
      <c r="K31" s="81">
        <f t="shared" si="4"/>
        <v>0</v>
      </c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5"/>
      <c r="Z31" s="11"/>
      <c r="AA31" s="77">
        <v>0</v>
      </c>
      <c r="AB31" s="53">
        <v>2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4"/>
      <c r="AG31" s="84"/>
      <c r="AH31" s="84"/>
      <c r="AI31" s="84"/>
      <c r="AJ31" s="84"/>
      <c r="AK31" s="84"/>
      <c r="AL31" s="84"/>
      <c r="AM31" s="84"/>
      <c r="AN31" s="84"/>
      <c r="AO31" s="84"/>
      <c r="AP31" s="84"/>
      <c r="AQ31" s="84"/>
      <c r="AR31" s="85"/>
    </row>
    <row r="32" spans="2:44" x14ac:dyDescent="0.25">
      <c r="F32" s="11"/>
      <c r="G32" s="77">
        <v>0</v>
      </c>
      <c r="H32" s="53">
        <v>2.5</v>
      </c>
      <c r="I32" s="81">
        <f t="shared" si="4"/>
        <v>0</v>
      </c>
      <c r="J32" s="81">
        <f t="shared" si="4"/>
        <v>0</v>
      </c>
      <c r="K32" s="81">
        <f t="shared" si="4"/>
        <v>0</v>
      </c>
      <c r="L32" s="81">
        <f t="shared" si="4"/>
        <v>0</v>
      </c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5"/>
      <c r="Z32" s="11"/>
      <c r="AA32" s="77">
        <v>0</v>
      </c>
      <c r="AB32" s="53">
        <v>2.5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5"/>
    </row>
    <row r="33" spans="6:44" x14ac:dyDescent="0.25">
      <c r="F33" s="11"/>
      <c r="G33" s="77">
        <v>0</v>
      </c>
      <c r="H33" s="53">
        <v>3</v>
      </c>
      <c r="I33" s="81">
        <f t="shared" si="4"/>
        <v>0</v>
      </c>
      <c r="J33" s="81">
        <f t="shared" si="4"/>
        <v>0</v>
      </c>
      <c r="K33" s="81">
        <f t="shared" si="4"/>
        <v>0</v>
      </c>
      <c r="L33" s="81">
        <f t="shared" si="4"/>
        <v>0</v>
      </c>
      <c r="M33" s="81">
        <f t="shared" si="4"/>
        <v>0</v>
      </c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5"/>
      <c r="Z33" s="11"/>
      <c r="AA33" s="77">
        <v>0</v>
      </c>
      <c r="AB33" s="53">
        <v>3</v>
      </c>
      <c r="AC33" s="81">
        <f t="shared" si="5"/>
        <v>0</v>
      </c>
      <c r="AD33" s="81">
        <f t="shared" si="5"/>
        <v>0</v>
      </c>
      <c r="AE33" s="81">
        <f t="shared" si="5"/>
        <v>0</v>
      </c>
      <c r="AF33" s="81">
        <f t="shared" si="5"/>
        <v>0</v>
      </c>
      <c r="AG33" s="81">
        <f t="shared" si="5"/>
        <v>0</v>
      </c>
      <c r="AH33" s="84"/>
      <c r="AI33" s="84"/>
      <c r="AJ33" s="84"/>
      <c r="AK33" s="84"/>
      <c r="AL33" s="84"/>
      <c r="AM33" s="84"/>
      <c r="AN33" s="84"/>
      <c r="AO33" s="84"/>
      <c r="AP33" s="84"/>
      <c r="AQ33" s="84"/>
      <c r="AR33" s="85"/>
    </row>
    <row r="34" spans="6:44" x14ac:dyDescent="0.25">
      <c r="F34" s="11"/>
      <c r="G34" s="77">
        <v>0</v>
      </c>
      <c r="H34" s="53">
        <v>3.5</v>
      </c>
      <c r="I34" s="81">
        <f t="shared" si="4"/>
        <v>0</v>
      </c>
      <c r="J34" s="81">
        <f t="shared" si="4"/>
        <v>0</v>
      </c>
      <c r="K34" s="81">
        <f t="shared" si="4"/>
        <v>0</v>
      </c>
      <c r="L34" s="81">
        <f t="shared" si="4"/>
        <v>0</v>
      </c>
      <c r="M34" s="81">
        <f t="shared" si="4"/>
        <v>0</v>
      </c>
      <c r="N34" s="81">
        <f t="shared" si="4"/>
        <v>0</v>
      </c>
      <c r="O34" s="84"/>
      <c r="P34" s="84"/>
      <c r="Q34" s="84"/>
      <c r="R34" s="84"/>
      <c r="S34" s="84"/>
      <c r="T34" s="84"/>
      <c r="U34" s="84"/>
      <c r="V34" s="84"/>
      <c r="W34" s="84"/>
      <c r="X34" s="85"/>
      <c r="Z34" s="11"/>
      <c r="AA34" s="77">
        <v>0</v>
      </c>
      <c r="AB34" s="53">
        <v>3.5</v>
      </c>
      <c r="AC34" s="81">
        <f t="shared" si="5"/>
        <v>0</v>
      </c>
      <c r="AD34" s="81">
        <f t="shared" si="5"/>
        <v>0</v>
      </c>
      <c r="AE34" s="81">
        <f t="shared" si="5"/>
        <v>0</v>
      </c>
      <c r="AF34" s="81">
        <f t="shared" si="5"/>
        <v>0</v>
      </c>
      <c r="AG34" s="81">
        <f t="shared" si="5"/>
        <v>0</v>
      </c>
      <c r="AH34" s="81">
        <f t="shared" si="5"/>
        <v>0</v>
      </c>
      <c r="AI34" s="84"/>
      <c r="AJ34" s="84"/>
      <c r="AK34" s="84"/>
      <c r="AL34" s="84"/>
      <c r="AM34" s="84"/>
      <c r="AN34" s="84"/>
      <c r="AO34" s="84"/>
      <c r="AP34" s="84"/>
      <c r="AQ34" s="84"/>
      <c r="AR34" s="85"/>
    </row>
    <row r="35" spans="6:44" x14ac:dyDescent="0.25">
      <c r="F35" s="11"/>
      <c r="G35" s="77">
        <v>0</v>
      </c>
      <c r="H35" s="53">
        <v>4</v>
      </c>
      <c r="I35" s="81">
        <f t="shared" si="4"/>
        <v>0</v>
      </c>
      <c r="J35" s="81">
        <f t="shared" si="4"/>
        <v>0</v>
      </c>
      <c r="K35" s="81">
        <f t="shared" si="4"/>
        <v>0</v>
      </c>
      <c r="L35" s="81">
        <f t="shared" si="4"/>
        <v>0</v>
      </c>
      <c r="M35" s="81">
        <f t="shared" si="4"/>
        <v>0</v>
      </c>
      <c r="N35" s="81">
        <f t="shared" si="4"/>
        <v>0</v>
      </c>
      <c r="O35" s="81">
        <f t="shared" si="4"/>
        <v>0</v>
      </c>
      <c r="P35" s="84"/>
      <c r="Q35" s="84"/>
      <c r="R35" s="84"/>
      <c r="S35" s="84"/>
      <c r="T35" s="84"/>
      <c r="U35" s="84"/>
      <c r="V35" s="84"/>
      <c r="W35" s="84"/>
      <c r="X35" s="85"/>
      <c r="Z35" s="11"/>
      <c r="AA35" s="77">
        <v>0</v>
      </c>
      <c r="AB35" s="53">
        <v>4</v>
      </c>
      <c r="AC35" s="81">
        <f t="shared" si="5"/>
        <v>0</v>
      </c>
      <c r="AD35" s="81">
        <f t="shared" si="5"/>
        <v>0</v>
      </c>
      <c r="AE35" s="81">
        <f t="shared" si="5"/>
        <v>0</v>
      </c>
      <c r="AF35" s="81">
        <f t="shared" si="5"/>
        <v>0</v>
      </c>
      <c r="AG35" s="81">
        <f t="shared" si="5"/>
        <v>0</v>
      </c>
      <c r="AH35" s="81">
        <f t="shared" si="5"/>
        <v>0</v>
      </c>
      <c r="AI35" s="81">
        <f t="shared" si="5"/>
        <v>0</v>
      </c>
      <c r="AJ35" s="84"/>
      <c r="AK35" s="84"/>
      <c r="AL35" s="84"/>
      <c r="AM35" s="84"/>
      <c r="AN35" s="84"/>
      <c r="AO35" s="84"/>
      <c r="AP35" s="84"/>
      <c r="AQ35" s="84"/>
      <c r="AR35" s="85"/>
    </row>
    <row r="36" spans="6:44" x14ac:dyDescent="0.25">
      <c r="F36" s="11"/>
      <c r="G36" s="77">
        <v>0</v>
      </c>
      <c r="H36" s="53">
        <v>4.5</v>
      </c>
      <c r="I36" s="81">
        <f t="shared" si="4"/>
        <v>0</v>
      </c>
      <c r="J36" s="81">
        <f t="shared" si="4"/>
        <v>0</v>
      </c>
      <c r="K36" s="81">
        <f t="shared" si="4"/>
        <v>0</v>
      </c>
      <c r="L36" s="81">
        <f t="shared" si="4"/>
        <v>0</v>
      </c>
      <c r="M36" s="81">
        <f t="shared" si="4"/>
        <v>0</v>
      </c>
      <c r="N36" s="81">
        <f t="shared" si="4"/>
        <v>0</v>
      </c>
      <c r="O36" s="81">
        <f t="shared" si="4"/>
        <v>0</v>
      </c>
      <c r="P36" s="81">
        <f t="shared" si="4"/>
        <v>0</v>
      </c>
      <c r="Q36" s="84"/>
      <c r="R36" s="84"/>
      <c r="S36" s="84"/>
      <c r="T36" s="84"/>
      <c r="U36" s="84"/>
      <c r="V36" s="84"/>
      <c r="W36" s="84"/>
      <c r="X36" s="85"/>
      <c r="Z36" s="11"/>
      <c r="AA36" s="77">
        <v>0</v>
      </c>
      <c r="AB36" s="53">
        <v>4.5</v>
      </c>
      <c r="AC36" s="81">
        <f t="shared" si="5"/>
        <v>0</v>
      </c>
      <c r="AD36" s="81">
        <f t="shared" si="5"/>
        <v>0</v>
      </c>
      <c r="AE36" s="81">
        <f t="shared" si="5"/>
        <v>0</v>
      </c>
      <c r="AF36" s="81">
        <f t="shared" si="5"/>
        <v>0</v>
      </c>
      <c r="AG36" s="81">
        <f t="shared" si="5"/>
        <v>0</v>
      </c>
      <c r="AH36" s="81">
        <f t="shared" si="5"/>
        <v>0</v>
      </c>
      <c r="AI36" s="81">
        <f t="shared" si="5"/>
        <v>0</v>
      </c>
      <c r="AJ36" s="81">
        <f t="shared" si="5"/>
        <v>0</v>
      </c>
      <c r="AK36" s="84"/>
      <c r="AL36" s="84"/>
      <c r="AM36" s="84"/>
      <c r="AN36" s="84"/>
      <c r="AO36" s="84"/>
      <c r="AP36" s="84"/>
      <c r="AQ36" s="84"/>
      <c r="AR36" s="85"/>
    </row>
    <row r="37" spans="6:44" x14ac:dyDescent="0.25">
      <c r="F37" s="11"/>
      <c r="G37" s="77">
        <v>0</v>
      </c>
      <c r="H37" s="53">
        <v>5</v>
      </c>
      <c r="I37" s="81">
        <f t="shared" si="4"/>
        <v>0</v>
      </c>
      <c r="J37" s="81">
        <f t="shared" si="4"/>
        <v>0</v>
      </c>
      <c r="K37" s="81">
        <f t="shared" si="4"/>
        <v>0</v>
      </c>
      <c r="L37" s="81">
        <f t="shared" si="4"/>
        <v>0</v>
      </c>
      <c r="M37" s="81">
        <f t="shared" si="4"/>
        <v>0</v>
      </c>
      <c r="N37" s="81">
        <f t="shared" si="4"/>
        <v>0</v>
      </c>
      <c r="O37" s="81">
        <f t="shared" si="4"/>
        <v>0</v>
      </c>
      <c r="P37" s="81">
        <f t="shared" si="4"/>
        <v>0</v>
      </c>
      <c r="Q37" s="81">
        <f t="shared" si="4"/>
        <v>0</v>
      </c>
      <c r="R37" s="84"/>
      <c r="S37" s="84"/>
      <c r="T37" s="84"/>
      <c r="U37" s="84"/>
      <c r="V37" s="84"/>
      <c r="W37" s="84"/>
      <c r="X37" s="85"/>
      <c r="Z37" s="11"/>
      <c r="AA37" s="77">
        <v>0</v>
      </c>
      <c r="AB37" s="53">
        <v>5</v>
      </c>
      <c r="AC37" s="81">
        <f t="shared" si="5"/>
        <v>0</v>
      </c>
      <c r="AD37" s="81">
        <f t="shared" si="5"/>
        <v>0</v>
      </c>
      <c r="AE37" s="81">
        <f t="shared" si="5"/>
        <v>0</v>
      </c>
      <c r="AF37" s="81">
        <f t="shared" si="5"/>
        <v>0</v>
      </c>
      <c r="AG37" s="81">
        <f t="shared" si="5"/>
        <v>0</v>
      </c>
      <c r="AH37" s="81">
        <f t="shared" si="5"/>
        <v>0</v>
      </c>
      <c r="AI37" s="81">
        <f t="shared" si="5"/>
        <v>0</v>
      </c>
      <c r="AJ37" s="81">
        <f t="shared" si="5"/>
        <v>0</v>
      </c>
      <c r="AK37" s="81">
        <f t="shared" si="5"/>
        <v>0</v>
      </c>
      <c r="AL37" s="84"/>
      <c r="AM37" s="84"/>
      <c r="AN37" s="84"/>
      <c r="AO37" s="84"/>
      <c r="AP37" s="84"/>
      <c r="AQ37" s="84"/>
      <c r="AR37" s="85"/>
    </row>
    <row r="38" spans="6:44" x14ac:dyDescent="0.25">
      <c r="F38" s="11"/>
      <c r="G38" s="77">
        <v>0</v>
      </c>
      <c r="H38" s="53">
        <v>5.5</v>
      </c>
      <c r="I38" s="81">
        <f t="shared" si="4"/>
        <v>0</v>
      </c>
      <c r="J38" s="81">
        <f t="shared" si="4"/>
        <v>0</v>
      </c>
      <c r="K38" s="81">
        <f t="shared" si="4"/>
        <v>0</v>
      </c>
      <c r="L38" s="81">
        <f t="shared" si="4"/>
        <v>0</v>
      </c>
      <c r="M38" s="81">
        <f t="shared" si="4"/>
        <v>0</v>
      </c>
      <c r="N38" s="81">
        <f t="shared" si="4"/>
        <v>0</v>
      </c>
      <c r="O38" s="81">
        <f t="shared" si="4"/>
        <v>0</v>
      </c>
      <c r="P38" s="81">
        <f t="shared" si="4"/>
        <v>0</v>
      </c>
      <c r="Q38" s="81">
        <f t="shared" si="4"/>
        <v>0</v>
      </c>
      <c r="R38" s="81">
        <f t="shared" si="4"/>
        <v>0</v>
      </c>
      <c r="S38" s="84"/>
      <c r="T38" s="84"/>
      <c r="U38" s="84"/>
      <c r="V38" s="84"/>
      <c r="W38" s="84"/>
      <c r="X38" s="85"/>
      <c r="Z38" s="11"/>
      <c r="AA38" s="77">
        <v>0</v>
      </c>
      <c r="AB38" s="53">
        <v>5.5</v>
      </c>
      <c r="AC38" s="81">
        <f t="shared" si="5"/>
        <v>0</v>
      </c>
      <c r="AD38" s="81">
        <f t="shared" si="5"/>
        <v>0</v>
      </c>
      <c r="AE38" s="81">
        <f t="shared" si="5"/>
        <v>0</v>
      </c>
      <c r="AF38" s="81">
        <f t="shared" si="5"/>
        <v>0</v>
      </c>
      <c r="AG38" s="81">
        <f t="shared" si="5"/>
        <v>0</v>
      </c>
      <c r="AH38" s="81">
        <f t="shared" si="5"/>
        <v>0</v>
      </c>
      <c r="AI38" s="81">
        <f t="shared" si="5"/>
        <v>0</v>
      </c>
      <c r="AJ38" s="81">
        <f t="shared" si="5"/>
        <v>0</v>
      </c>
      <c r="AK38" s="81">
        <f t="shared" si="5"/>
        <v>0</v>
      </c>
      <c r="AL38" s="81">
        <f t="shared" si="5"/>
        <v>0</v>
      </c>
      <c r="AM38" s="84"/>
      <c r="AN38" s="84"/>
      <c r="AO38" s="84"/>
      <c r="AP38" s="84"/>
      <c r="AQ38" s="84"/>
      <c r="AR38" s="85"/>
    </row>
    <row r="39" spans="6:44" x14ac:dyDescent="0.25">
      <c r="F39" s="11"/>
      <c r="G39" s="77">
        <v>0</v>
      </c>
      <c r="H39" s="53">
        <v>6</v>
      </c>
      <c r="I39" s="81">
        <f t="shared" si="4"/>
        <v>0</v>
      </c>
      <c r="J39" s="81">
        <f t="shared" si="4"/>
        <v>0</v>
      </c>
      <c r="K39" s="81">
        <f t="shared" si="4"/>
        <v>0</v>
      </c>
      <c r="L39" s="81">
        <f t="shared" si="4"/>
        <v>0</v>
      </c>
      <c r="M39" s="81">
        <f t="shared" si="4"/>
        <v>0</v>
      </c>
      <c r="N39" s="81">
        <f t="shared" si="4"/>
        <v>0</v>
      </c>
      <c r="O39" s="81">
        <f t="shared" si="4"/>
        <v>0</v>
      </c>
      <c r="P39" s="81">
        <f t="shared" si="4"/>
        <v>0</v>
      </c>
      <c r="Q39" s="81">
        <f t="shared" si="4"/>
        <v>0</v>
      </c>
      <c r="R39" s="81">
        <f t="shared" si="4"/>
        <v>0</v>
      </c>
      <c r="S39" s="81">
        <f t="shared" si="4"/>
        <v>0</v>
      </c>
      <c r="T39" s="84"/>
      <c r="U39" s="84"/>
      <c r="V39" s="84"/>
      <c r="W39" s="84"/>
      <c r="X39" s="85"/>
      <c r="Z39" s="11"/>
      <c r="AA39" s="77">
        <v>0</v>
      </c>
      <c r="AB39" s="53">
        <v>6</v>
      </c>
      <c r="AC39" s="81">
        <f t="shared" si="5"/>
        <v>0</v>
      </c>
      <c r="AD39" s="81">
        <f t="shared" si="5"/>
        <v>0</v>
      </c>
      <c r="AE39" s="81">
        <f t="shared" si="5"/>
        <v>0</v>
      </c>
      <c r="AF39" s="81">
        <f t="shared" si="5"/>
        <v>0</v>
      </c>
      <c r="AG39" s="81">
        <f t="shared" si="5"/>
        <v>0</v>
      </c>
      <c r="AH39" s="81">
        <f t="shared" si="5"/>
        <v>0</v>
      </c>
      <c r="AI39" s="81">
        <f t="shared" si="5"/>
        <v>0</v>
      </c>
      <c r="AJ39" s="81">
        <f t="shared" si="5"/>
        <v>0</v>
      </c>
      <c r="AK39" s="81">
        <f t="shared" si="5"/>
        <v>0</v>
      </c>
      <c r="AL39" s="81">
        <f t="shared" si="5"/>
        <v>0</v>
      </c>
      <c r="AM39" s="81">
        <f t="shared" si="5"/>
        <v>0</v>
      </c>
      <c r="AN39" s="84"/>
      <c r="AO39" s="84"/>
      <c r="AP39" s="84"/>
      <c r="AQ39" s="84"/>
      <c r="AR39" s="85"/>
    </row>
    <row r="40" spans="6:44" x14ac:dyDescent="0.25">
      <c r="F40" s="11"/>
      <c r="G40" s="77">
        <v>0</v>
      </c>
      <c r="H40" s="53">
        <v>6.5</v>
      </c>
      <c r="I40" s="81">
        <f t="shared" si="4"/>
        <v>0</v>
      </c>
      <c r="J40" s="81">
        <f t="shared" si="4"/>
        <v>0</v>
      </c>
      <c r="K40" s="81">
        <f t="shared" si="4"/>
        <v>0</v>
      </c>
      <c r="L40" s="81">
        <f t="shared" si="4"/>
        <v>0</v>
      </c>
      <c r="M40" s="81">
        <f t="shared" si="4"/>
        <v>0</v>
      </c>
      <c r="N40" s="81">
        <f t="shared" si="4"/>
        <v>0</v>
      </c>
      <c r="O40" s="81">
        <f t="shared" si="4"/>
        <v>0</v>
      </c>
      <c r="P40" s="81">
        <f t="shared" si="4"/>
        <v>0</v>
      </c>
      <c r="Q40" s="81">
        <f t="shared" si="4"/>
        <v>0</v>
      </c>
      <c r="R40" s="81">
        <f t="shared" si="4"/>
        <v>0</v>
      </c>
      <c r="S40" s="81">
        <f t="shared" si="4"/>
        <v>0</v>
      </c>
      <c r="T40" s="81">
        <f t="shared" si="4"/>
        <v>0</v>
      </c>
      <c r="U40" s="84"/>
      <c r="V40" s="84"/>
      <c r="W40" s="84"/>
      <c r="X40" s="85"/>
      <c r="Z40" s="11"/>
      <c r="AA40" s="77">
        <v>0</v>
      </c>
      <c r="AB40" s="53">
        <v>6.5</v>
      </c>
      <c r="AC40" s="81">
        <f t="shared" si="5"/>
        <v>0</v>
      </c>
      <c r="AD40" s="81">
        <f t="shared" si="5"/>
        <v>0</v>
      </c>
      <c r="AE40" s="81">
        <f t="shared" si="5"/>
        <v>0</v>
      </c>
      <c r="AF40" s="81">
        <f t="shared" si="5"/>
        <v>0</v>
      </c>
      <c r="AG40" s="81">
        <f t="shared" si="5"/>
        <v>0</v>
      </c>
      <c r="AH40" s="81">
        <f t="shared" si="5"/>
        <v>0</v>
      </c>
      <c r="AI40" s="81">
        <f t="shared" si="5"/>
        <v>0</v>
      </c>
      <c r="AJ40" s="81">
        <f t="shared" si="5"/>
        <v>0</v>
      </c>
      <c r="AK40" s="81">
        <f t="shared" si="5"/>
        <v>0</v>
      </c>
      <c r="AL40" s="81">
        <f t="shared" si="5"/>
        <v>0</v>
      </c>
      <c r="AM40" s="81">
        <f t="shared" si="5"/>
        <v>0</v>
      </c>
      <c r="AN40" s="81">
        <f t="shared" si="5"/>
        <v>0</v>
      </c>
      <c r="AO40" s="84"/>
      <c r="AP40" s="84"/>
      <c r="AQ40" s="84"/>
      <c r="AR40" s="85"/>
    </row>
    <row r="41" spans="6:44" x14ac:dyDescent="0.25">
      <c r="F41" s="11"/>
      <c r="G41" s="77">
        <v>0</v>
      </c>
      <c r="H41" s="53">
        <v>7</v>
      </c>
      <c r="I41" s="81">
        <f t="shared" si="4"/>
        <v>0</v>
      </c>
      <c r="J41" s="81">
        <f t="shared" si="4"/>
        <v>0</v>
      </c>
      <c r="K41" s="81">
        <f t="shared" si="4"/>
        <v>0</v>
      </c>
      <c r="L41" s="81">
        <f t="shared" si="4"/>
        <v>0</v>
      </c>
      <c r="M41" s="81">
        <f t="shared" si="4"/>
        <v>0</v>
      </c>
      <c r="N41" s="81">
        <f t="shared" si="4"/>
        <v>0</v>
      </c>
      <c r="O41" s="81">
        <f t="shared" si="4"/>
        <v>0</v>
      </c>
      <c r="P41" s="81">
        <f t="shared" si="4"/>
        <v>0</v>
      </c>
      <c r="Q41" s="81">
        <f t="shared" si="4"/>
        <v>0</v>
      </c>
      <c r="R41" s="81">
        <f t="shared" si="4"/>
        <v>0</v>
      </c>
      <c r="S41" s="81">
        <f t="shared" si="4"/>
        <v>0</v>
      </c>
      <c r="T41" s="81">
        <f t="shared" si="4"/>
        <v>0</v>
      </c>
      <c r="U41" s="81">
        <f t="shared" si="4"/>
        <v>0</v>
      </c>
      <c r="V41" s="84"/>
      <c r="W41" s="84"/>
      <c r="X41" s="85"/>
      <c r="Z41" s="11"/>
      <c r="AA41" s="77">
        <v>0</v>
      </c>
      <c r="AB41" s="53">
        <v>7</v>
      </c>
      <c r="AC41" s="81">
        <f t="shared" si="5"/>
        <v>0</v>
      </c>
      <c r="AD41" s="81">
        <f t="shared" si="5"/>
        <v>0</v>
      </c>
      <c r="AE41" s="81">
        <f t="shared" si="5"/>
        <v>0</v>
      </c>
      <c r="AF41" s="81">
        <f t="shared" si="5"/>
        <v>0</v>
      </c>
      <c r="AG41" s="81">
        <f t="shared" si="5"/>
        <v>0</v>
      </c>
      <c r="AH41" s="81">
        <f t="shared" si="5"/>
        <v>0</v>
      </c>
      <c r="AI41" s="81">
        <f t="shared" si="5"/>
        <v>0</v>
      </c>
      <c r="AJ41" s="81">
        <f t="shared" si="5"/>
        <v>0</v>
      </c>
      <c r="AK41" s="81">
        <f t="shared" si="5"/>
        <v>0</v>
      </c>
      <c r="AL41" s="81">
        <f t="shared" si="5"/>
        <v>0</v>
      </c>
      <c r="AM41" s="81">
        <f t="shared" si="5"/>
        <v>0</v>
      </c>
      <c r="AN41" s="81">
        <f t="shared" si="5"/>
        <v>0</v>
      </c>
      <c r="AO41" s="81">
        <f t="shared" si="5"/>
        <v>0</v>
      </c>
      <c r="AP41" s="84"/>
      <c r="AQ41" s="84"/>
      <c r="AR41" s="85"/>
    </row>
    <row r="42" spans="6:44" x14ac:dyDescent="0.25">
      <c r="F42" s="11"/>
      <c r="G42" s="77">
        <v>0</v>
      </c>
      <c r="H42" s="53">
        <v>7.5</v>
      </c>
      <c r="I42" s="81">
        <f t="shared" si="4"/>
        <v>0</v>
      </c>
      <c r="J42" s="81">
        <f t="shared" si="4"/>
        <v>0</v>
      </c>
      <c r="K42" s="81">
        <f t="shared" si="4"/>
        <v>0</v>
      </c>
      <c r="L42" s="81">
        <f t="shared" si="4"/>
        <v>0</v>
      </c>
      <c r="M42" s="81">
        <f t="shared" si="4"/>
        <v>0</v>
      </c>
      <c r="N42" s="81">
        <f t="shared" si="4"/>
        <v>0</v>
      </c>
      <c r="O42" s="81">
        <f t="shared" si="4"/>
        <v>0</v>
      </c>
      <c r="P42" s="81">
        <f t="shared" si="4"/>
        <v>0</v>
      </c>
      <c r="Q42" s="81">
        <f t="shared" si="4"/>
        <v>0</v>
      </c>
      <c r="R42" s="81">
        <f t="shared" si="4"/>
        <v>0</v>
      </c>
      <c r="S42" s="81">
        <f t="shared" si="4"/>
        <v>0</v>
      </c>
      <c r="T42" s="81">
        <f t="shared" si="4"/>
        <v>0</v>
      </c>
      <c r="U42" s="81">
        <f t="shared" si="4"/>
        <v>0</v>
      </c>
      <c r="V42" s="81">
        <f t="shared" si="4"/>
        <v>0</v>
      </c>
      <c r="W42" s="84"/>
      <c r="X42" s="85"/>
      <c r="Z42" s="11"/>
      <c r="AA42" s="77">
        <v>0</v>
      </c>
      <c r="AB42" s="53">
        <v>7.5</v>
      </c>
      <c r="AC42" s="81">
        <f t="shared" si="5"/>
        <v>0</v>
      </c>
      <c r="AD42" s="81">
        <f t="shared" si="5"/>
        <v>0</v>
      </c>
      <c r="AE42" s="81">
        <f t="shared" si="5"/>
        <v>0</v>
      </c>
      <c r="AF42" s="81">
        <f t="shared" si="5"/>
        <v>0</v>
      </c>
      <c r="AG42" s="81">
        <f t="shared" si="5"/>
        <v>0</v>
      </c>
      <c r="AH42" s="81">
        <f t="shared" si="5"/>
        <v>0</v>
      </c>
      <c r="AI42" s="81">
        <f t="shared" si="5"/>
        <v>0</v>
      </c>
      <c r="AJ42" s="81">
        <f t="shared" si="5"/>
        <v>0</v>
      </c>
      <c r="AK42" s="81">
        <f t="shared" si="5"/>
        <v>0</v>
      </c>
      <c r="AL42" s="81">
        <f t="shared" si="5"/>
        <v>0</v>
      </c>
      <c r="AM42" s="81">
        <f t="shared" si="5"/>
        <v>0</v>
      </c>
      <c r="AN42" s="81">
        <f t="shared" si="5"/>
        <v>0</v>
      </c>
      <c r="AO42" s="81">
        <f t="shared" si="5"/>
        <v>0</v>
      </c>
      <c r="AP42" s="81">
        <f t="shared" si="5"/>
        <v>0</v>
      </c>
      <c r="AQ42" s="84"/>
      <c r="AR42" s="85"/>
    </row>
    <row r="43" spans="6:44" ht="15.75" thickBot="1" x14ac:dyDescent="0.3">
      <c r="F43" s="13"/>
      <c r="G43" s="80">
        <v>0</v>
      </c>
      <c r="H43" s="56">
        <v>8</v>
      </c>
      <c r="I43" s="82">
        <f t="shared" si="4"/>
        <v>0</v>
      </c>
      <c r="J43" s="82">
        <f t="shared" si="4"/>
        <v>0</v>
      </c>
      <c r="K43" s="82">
        <f t="shared" si="4"/>
        <v>0</v>
      </c>
      <c r="L43" s="82">
        <f t="shared" si="4"/>
        <v>0</v>
      </c>
      <c r="M43" s="82">
        <f t="shared" si="4"/>
        <v>0</v>
      </c>
      <c r="N43" s="82">
        <f t="shared" si="4"/>
        <v>0</v>
      </c>
      <c r="O43" s="82">
        <f t="shared" si="4"/>
        <v>0</v>
      </c>
      <c r="P43" s="82">
        <f t="shared" si="4"/>
        <v>0</v>
      </c>
      <c r="Q43" s="82">
        <f t="shared" si="4"/>
        <v>0</v>
      </c>
      <c r="R43" s="82">
        <f t="shared" si="4"/>
        <v>0</v>
      </c>
      <c r="S43" s="82">
        <f t="shared" si="4"/>
        <v>0</v>
      </c>
      <c r="T43" s="82">
        <f t="shared" si="4"/>
        <v>0</v>
      </c>
      <c r="U43" s="82">
        <f t="shared" si="4"/>
        <v>0</v>
      </c>
      <c r="V43" s="82">
        <f t="shared" si="4"/>
        <v>0</v>
      </c>
      <c r="W43" s="82">
        <f t="shared" si="4"/>
        <v>0</v>
      </c>
      <c r="X43" s="86"/>
      <c r="Z43" s="13"/>
      <c r="AA43" s="80">
        <v>0</v>
      </c>
      <c r="AB43" s="56">
        <v>8</v>
      </c>
      <c r="AC43" s="82">
        <f t="shared" si="5"/>
        <v>0</v>
      </c>
      <c r="AD43" s="82">
        <f t="shared" si="5"/>
        <v>0</v>
      </c>
      <c r="AE43" s="82">
        <f t="shared" si="5"/>
        <v>0</v>
      </c>
      <c r="AF43" s="82">
        <f t="shared" si="5"/>
        <v>0</v>
      </c>
      <c r="AG43" s="82">
        <f t="shared" si="5"/>
        <v>0</v>
      </c>
      <c r="AH43" s="82">
        <f t="shared" si="5"/>
        <v>0</v>
      </c>
      <c r="AI43" s="82">
        <f t="shared" si="5"/>
        <v>0</v>
      </c>
      <c r="AJ43" s="82">
        <f t="shared" si="5"/>
        <v>0</v>
      </c>
      <c r="AK43" s="82">
        <f t="shared" si="5"/>
        <v>0</v>
      </c>
      <c r="AL43" s="82">
        <f t="shared" si="5"/>
        <v>0</v>
      </c>
      <c r="AM43" s="82">
        <f t="shared" si="5"/>
        <v>0</v>
      </c>
      <c r="AN43" s="82">
        <f t="shared" si="5"/>
        <v>0</v>
      </c>
      <c r="AO43" s="82">
        <f t="shared" si="5"/>
        <v>0</v>
      </c>
      <c r="AP43" s="82">
        <f t="shared" si="5"/>
        <v>0</v>
      </c>
      <c r="AQ43" s="82">
        <f t="shared" si="5"/>
        <v>0</v>
      </c>
      <c r="AR43" s="86"/>
    </row>
    <row r="45" spans="6:44" x14ac:dyDescent="0.25">
      <c r="F45" s="1" t="s">
        <v>95</v>
      </c>
      <c r="G45" s="18">
        <v>4</v>
      </c>
      <c r="H45" s="1" t="s">
        <v>46</v>
      </c>
    </row>
    <row r="46" spans="6:44" ht="15.75" thickBot="1" x14ac:dyDescent="0.3"/>
    <row r="47" spans="6:44" x14ac:dyDescent="0.25">
      <c r="F47" s="89" t="s">
        <v>96</v>
      </c>
      <c r="G47" s="9" t="s">
        <v>93</v>
      </c>
      <c r="H47" s="78">
        <v>1</v>
      </c>
      <c r="I47" s="78">
        <f>H19</f>
        <v>0.97643216359813645</v>
      </c>
      <c r="J47" s="78">
        <f t="shared" ref="J47:X47" si="6">I19</f>
        <v>0.96779999999999999</v>
      </c>
      <c r="K47" s="78">
        <f t="shared" si="6"/>
        <v>0</v>
      </c>
      <c r="L47" s="78">
        <f t="shared" si="6"/>
        <v>0</v>
      </c>
      <c r="M47" s="78">
        <f t="shared" si="6"/>
        <v>0</v>
      </c>
      <c r="N47" s="78">
        <f t="shared" si="6"/>
        <v>0</v>
      </c>
      <c r="O47" s="78">
        <f t="shared" si="6"/>
        <v>0</v>
      </c>
      <c r="P47" s="78">
        <f t="shared" si="6"/>
        <v>0</v>
      </c>
      <c r="Q47" s="78">
        <f t="shared" si="6"/>
        <v>0</v>
      </c>
      <c r="R47" s="78">
        <f t="shared" si="6"/>
        <v>0</v>
      </c>
      <c r="S47" s="78">
        <f t="shared" si="6"/>
        <v>0</v>
      </c>
      <c r="T47" s="78">
        <f t="shared" si="6"/>
        <v>0</v>
      </c>
      <c r="U47" s="78">
        <f t="shared" si="6"/>
        <v>0</v>
      </c>
      <c r="V47" s="78">
        <f t="shared" si="6"/>
        <v>0</v>
      </c>
      <c r="W47" s="78">
        <f t="shared" si="6"/>
        <v>0</v>
      </c>
      <c r="X47" s="79">
        <f t="shared" si="6"/>
        <v>0</v>
      </c>
      <c r="Z47" s="89" t="s">
        <v>102</v>
      </c>
      <c r="AA47" s="9" t="s">
        <v>93</v>
      </c>
      <c r="AB47" s="78">
        <v>1</v>
      </c>
      <c r="AC47" s="78">
        <f>H23</f>
        <v>0.97643216359813645</v>
      </c>
      <c r="AD47" s="78">
        <f t="shared" ref="AD47:AR47" si="7">I23</f>
        <v>0.96779999999999999</v>
      </c>
      <c r="AE47" s="78">
        <f t="shared" si="7"/>
        <v>0</v>
      </c>
      <c r="AF47" s="78">
        <f t="shared" si="7"/>
        <v>0</v>
      </c>
      <c r="AG47" s="78">
        <f t="shared" si="7"/>
        <v>0</v>
      </c>
      <c r="AH47" s="78">
        <f t="shared" si="7"/>
        <v>0</v>
      </c>
      <c r="AI47" s="78">
        <f t="shared" si="7"/>
        <v>0</v>
      </c>
      <c r="AJ47" s="78">
        <f t="shared" si="7"/>
        <v>0</v>
      </c>
      <c r="AK47" s="78">
        <f t="shared" si="7"/>
        <v>0</v>
      </c>
      <c r="AL47" s="78">
        <f t="shared" si="7"/>
        <v>0</v>
      </c>
      <c r="AM47" s="78">
        <f t="shared" si="7"/>
        <v>0</v>
      </c>
      <c r="AN47" s="78">
        <f t="shared" si="7"/>
        <v>0</v>
      </c>
      <c r="AO47" s="78">
        <f t="shared" si="7"/>
        <v>0</v>
      </c>
      <c r="AP47" s="78">
        <f t="shared" si="7"/>
        <v>0</v>
      </c>
      <c r="AQ47" s="78">
        <f t="shared" si="7"/>
        <v>0</v>
      </c>
      <c r="AR47" s="79">
        <f t="shared" si="7"/>
        <v>0</v>
      </c>
    </row>
    <row r="48" spans="6:44" x14ac:dyDescent="0.25">
      <c r="F48" s="5" t="s">
        <v>94</v>
      </c>
      <c r="G48" s="77">
        <v>1</v>
      </c>
      <c r="H48" s="53">
        <f>G37</f>
        <v>0</v>
      </c>
      <c r="I48" s="53">
        <f>H18</f>
        <v>0.5</v>
      </c>
      <c r="J48" s="53">
        <f t="shared" ref="J48:X48" si="8">I18</f>
        <v>1</v>
      </c>
      <c r="K48" s="53">
        <f t="shared" si="8"/>
        <v>1.5</v>
      </c>
      <c r="L48" s="53">
        <f t="shared" si="8"/>
        <v>2</v>
      </c>
      <c r="M48" s="53">
        <f t="shared" si="8"/>
        <v>2.5</v>
      </c>
      <c r="N48" s="53">
        <f t="shared" si="8"/>
        <v>3</v>
      </c>
      <c r="O48" s="53">
        <f t="shared" si="8"/>
        <v>3.5</v>
      </c>
      <c r="P48" s="53">
        <f t="shared" si="8"/>
        <v>4</v>
      </c>
      <c r="Q48" s="53">
        <f t="shared" si="8"/>
        <v>4.5</v>
      </c>
      <c r="R48" s="53">
        <f t="shared" si="8"/>
        <v>5</v>
      </c>
      <c r="S48" s="53">
        <f t="shared" si="8"/>
        <v>5.5</v>
      </c>
      <c r="T48" s="53">
        <f t="shared" si="8"/>
        <v>6</v>
      </c>
      <c r="U48" s="53">
        <f t="shared" si="8"/>
        <v>6.5</v>
      </c>
      <c r="V48" s="53">
        <f t="shared" si="8"/>
        <v>7</v>
      </c>
      <c r="W48" s="53">
        <f t="shared" si="8"/>
        <v>7.5</v>
      </c>
      <c r="X48" s="54">
        <f t="shared" si="8"/>
        <v>8</v>
      </c>
      <c r="Z48" s="5" t="s">
        <v>94</v>
      </c>
      <c r="AA48" s="77">
        <v>1</v>
      </c>
      <c r="AB48" s="53">
        <f>AA37</f>
        <v>0</v>
      </c>
      <c r="AC48" s="53">
        <f>AC27</f>
        <v>0.5</v>
      </c>
      <c r="AD48" s="53">
        <f t="shared" ref="AD48:AR48" si="9">AD27</f>
        <v>1</v>
      </c>
      <c r="AE48" s="53">
        <f t="shared" si="9"/>
        <v>1.5</v>
      </c>
      <c r="AF48" s="53">
        <f t="shared" si="9"/>
        <v>2</v>
      </c>
      <c r="AG48" s="53">
        <f t="shared" si="9"/>
        <v>2.5</v>
      </c>
      <c r="AH48" s="53">
        <f t="shared" si="9"/>
        <v>3</v>
      </c>
      <c r="AI48" s="53">
        <f t="shared" si="9"/>
        <v>3.5</v>
      </c>
      <c r="AJ48" s="53">
        <f t="shared" si="9"/>
        <v>4</v>
      </c>
      <c r="AK48" s="53">
        <f t="shared" si="9"/>
        <v>4.5</v>
      </c>
      <c r="AL48" s="53">
        <f t="shared" si="9"/>
        <v>5</v>
      </c>
      <c r="AM48" s="53">
        <f t="shared" si="9"/>
        <v>5.5</v>
      </c>
      <c r="AN48" s="53">
        <f t="shared" si="9"/>
        <v>6</v>
      </c>
      <c r="AO48" s="53">
        <f t="shared" si="9"/>
        <v>6.5</v>
      </c>
      <c r="AP48" s="53">
        <f t="shared" si="9"/>
        <v>7</v>
      </c>
      <c r="AQ48" s="53">
        <f t="shared" si="9"/>
        <v>7.5</v>
      </c>
      <c r="AR48" s="54">
        <f t="shared" si="9"/>
        <v>8</v>
      </c>
    </row>
    <row r="49" spans="6:44" x14ac:dyDescent="0.25">
      <c r="F49" s="11"/>
      <c r="G49" s="77">
        <f t="array" ref="G49:G64">TRANSPOSE(H19:W19)</f>
        <v>0.97643216359813645</v>
      </c>
      <c r="H49" s="53">
        <f t="array" ref="H49:H64">TRANSPOSE($H$18:$W$18)</f>
        <v>0.5</v>
      </c>
      <c r="I49" s="83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8"/>
      <c r="Z49" s="11"/>
      <c r="AA49" s="77">
        <f t="array" ref="AA49:AA64">TRANSPOSE(H23:W23)</f>
        <v>0.97643216359813645</v>
      </c>
      <c r="AB49" s="53">
        <f t="array" ref="AB49:AB64">TRANSPOSE($H$18:$W$18)</f>
        <v>0.5</v>
      </c>
      <c r="AC49" s="83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8"/>
    </row>
    <row r="50" spans="6:44" x14ac:dyDescent="0.25">
      <c r="F50" s="5"/>
      <c r="G50" s="77">
        <v>0.96779999999999999</v>
      </c>
      <c r="H50" s="53">
        <v>1</v>
      </c>
      <c r="I50" s="81">
        <f>IF(I29&gt;0, IF(TYPE($G$45)=1, $G$45 * ((I29^(-1/($G$45*($H50-I$48))))-1), -(LN(I29)/($H50-I$48))), 0)</f>
        <v>1.7799133302126791E-2</v>
      </c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5"/>
      <c r="Z50" s="5"/>
      <c r="AA50" s="77">
        <v>0.96779999999999999</v>
      </c>
      <c r="AB50" s="53">
        <v>1</v>
      </c>
      <c r="AC50" s="81">
        <f>IF(AC29&gt;0, IF(TYPE($G$45)=1, $G$45 * ((AC29^(-1/($G$45*($AB50-AC$48))))-1), -(LN(AC29)/($AB50-AC$48))), 0)</f>
        <v>1.7799133302126791E-2</v>
      </c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5"/>
    </row>
    <row r="51" spans="6:44" x14ac:dyDescent="0.25">
      <c r="F51" s="11"/>
      <c r="G51" s="77">
        <v>0</v>
      </c>
      <c r="H51" s="53">
        <v>1.5</v>
      </c>
      <c r="I51" s="81">
        <f t="shared" ref="I51:W64" si="10">IF(I30&gt;0, IF(TYPE($G$45)=1, $G$45 * ((I30^(-1/($G$45*($H51-I$48))))-1), -(LN(I30)/($H51-I$48))), 0)</f>
        <v>0</v>
      </c>
      <c r="J51" s="81">
        <f t="shared" si="10"/>
        <v>0</v>
      </c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5"/>
      <c r="Z51" s="11"/>
      <c r="AA51" s="77">
        <v>0</v>
      </c>
      <c r="AB51" s="53">
        <v>1.5</v>
      </c>
      <c r="AC51" s="81">
        <f t="shared" ref="AC51:AQ64" si="11">IF(AC30&gt;0, IF(TYPE($G$45)=1, $G$45 * ((AC30^(-1/($G$45*($AB51-AC$48))))-1), -(LN(AC30)/($AB51-AC$48))), 0)</f>
        <v>0</v>
      </c>
      <c r="AD51" s="81">
        <f t="shared" si="11"/>
        <v>0</v>
      </c>
      <c r="AE51" s="84"/>
      <c r="AF51" s="84"/>
      <c r="AG51" s="84"/>
      <c r="AH51" s="84"/>
      <c r="AI51" s="84"/>
      <c r="AJ51" s="84"/>
      <c r="AK51" s="84"/>
      <c r="AL51" s="84"/>
      <c r="AM51" s="84"/>
      <c r="AN51" s="84"/>
      <c r="AO51" s="84"/>
      <c r="AP51" s="84"/>
      <c r="AQ51" s="84"/>
      <c r="AR51" s="85"/>
    </row>
    <row r="52" spans="6:44" x14ac:dyDescent="0.25">
      <c r="F52" s="11"/>
      <c r="G52" s="77">
        <v>0</v>
      </c>
      <c r="H52" s="53">
        <v>2</v>
      </c>
      <c r="I52" s="81">
        <f t="shared" si="10"/>
        <v>0</v>
      </c>
      <c r="J52" s="81">
        <f t="shared" si="10"/>
        <v>0</v>
      </c>
      <c r="K52" s="81">
        <f t="shared" si="10"/>
        <v>0</v>
      </c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5"/>
      <c r="Z52" s="11"/>
      <c r="AA52" s="77">
        <v>0</v>
      </c>
      <c r="AB52" s="53">
        <v>2</v>
      </c>
      <c r="AC52" s="81">
        <f t="shared" si="11"/>
        <v>0</v>
      </c>
      <c r="AD52" s="81">
        <f t="shared" si="11"/>
        <v>0</v>
      </c>
      <c r="AE52" s="81">
        <f t="shared" si="11"/>
        <v>0</v>
      </c>
      <c r="AF52" s="84"/>
      <c r="AG52" s="84"/>
      <c r="AH52" s="84"/>
      <c r="AI52" s="84"/>
      <c r="AJ52" s="84"/>
      <c r="AK52" s="84"/>
      <c r="AL52" s="84"/>
      <c r="AM52" s="84"/>
      <c r="AN52" s="84"/>
      <c r="AO52" s="84"/>
      <c r="AP52" s="84"/>
      <c r="AQ52" s="84"/>
      <c r="AR52" s="85"/>
    </row>
    <row r="53" spans="6:44" x14ac:dyDescent="0.25">
      <c r="F53" s="11"/>
      <c r="G53" s="77">
        <v>0</v>
      </c>
      <c r="H53" s="53">
        <v>2.5</v>
      </c>
      <c r="I53" s="81">
        <f t="shared" si="10"/>
        <v>0</v>
      </c>
      <c r="J53" s="81">
        <f t="shared" si="10"/>
        <v>0</v>
      </c>
      <c r="K53" s="81">
        <f t="shared" si="10"/>
        <v>0</v>
      </c>
      <c r="L53" s="81">
        <f t="shared" si="10"/>
        <v>0</v>
      </c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5"/>
      <c r="Z53" s="11"/>
      <c r="AA53" s="77">
        <v>0</v>
      </c>
      <c r="AB53" s="53">
        <v>2.5</v>
      </c>
      <c r="AC53" s="81">
        <f t="shared" si="11"/>
        <v>0</v>
      </c>
      <c r="AD53" s="81">
        <f t="shared" si="11"/>
        <v>0</v>
      </c>
      <c r="AE53" s="81">
        <f t="shared" si="11"/>
        <v>0</v>
      </c>
      <c r="AF53" s="81">
        <f t="shared" si="11"/>
        <v>0</v>
      </c>
      <c r="AG53" s="84"/>
      <c r="AH53" s="84"/>
      <c r="AI53" s="84"/>
      <c r="AJ53" s="84"/>
      <c r="AK53" s="84"/>
      <c r="AL53" s="84"/>
      <c r="AM53" s="84"/>
      <c r="AN53" s="84"/>
      <c r="AO53" s="84"/>
      <c r="AP53" s="84"/>
      <c r="AQ53" s="84"/>
      <c r="AR53" s="85"/>
    </row>
    <row r="54" spans="6:44" x14ac:dyDescent="0.25">
      <c r="F54" s="11"/>
      <c r="G54" s="77">
        <v>0</v>
      </c>
      <c r="H54" s="53">
        <v>3</v>
      </c>
      <c r="I54" s="81">
        <f t="shared" si="10"/>
        <v>0</v>
      </c>
      <c r="J54" s="81">
        <f t="shared" si="10"/>
        <v>0</v>
      </c>
      <c r="K54" s="81">
        <f t="shared" si="10"/>
        <v>0</v>
      </c>
      <c r="L54" s="81">
        <f t="shared" si="10"/>
        <v>0</v>
      </c>
      <c r="M54" s="81">
        <f t="shared" si="10"/>
        <v>0</v>
      </c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5"/>
      <c r="Z54" s="11"/>
      <c r="AA54" s="77">
        <v>0</v>
      </c>
      <c r="AB54" s="53">
        <v>3</v>
      </c>
      <c r="AC54" s="81">
        <f t="shared" si="11"/>
        <v>0</v>
      </c>
      <c r="AD54" s="81">
        <f t="shared" si="11"/>
        <v>0</v>
      </c>
      <c r="AE54" s="81">
        <f t="shared" si="11"/>
        <v>0</v>
      </c>
      <c r="AF54" s="81">
        <f t="shared" si="11"/>
        <v>0</v>
      </c>
      <c r="AG54" s="81">
        <f t="shared" si="11"/>
        <v>0</v>
      </c>
      <c r="AH54" s="84"/>
      <c r="AI54" s="84"/>
      <c r="AJ54" s="84"/>
      <c r="AK54" s="84"/>
      <c r="AL54" s="84"/>
      <c r="AM54" s="84"/>
      <c r="AN54" s="84"/>
      <c r="AO54" s="84"/>
      <c r="AP54" s="84"/>
      <c r="AQ54" s="84"/>
      <c r="AR54" s="85"/>
    </row>
    <row r="55" spans="6:44" x14ac:dyDescent="0.25">
      <c r="F55" s="11"/>
      <c r="G55" s="77">
        <v>0</v>
      </c>
      <c r="H55" s="53">
        <v>3.5</v>
      </c>
      <c r="I55" s="81">
        <f t="shared" si="10"/>
        <v>0</v>
      </c>
      <c r="J55" s="81">
        <f t="shared" si="10"/>
        <v>0</v>
      </c>
      <c r="K55" s="81">
        <f t="shared" si="10"/>
        <v>0</v>
      </c>
      <c r="L55" s="81">
        <f t="shared" si="10"/>
        <v>0</v>
      </c>
      <c r="M55" s="81">
        <f t="shared" si="10"/>
        <v>0</v>
      </c>
      <c r="N55" s="81">
        <f t="shared" si="10"/>
        <v>0</v>
      </c>
      <c r="O55" s="84"/>
      <c r="P55" s="84"/>
      <c r="Q55" s="84"/>
      <c r="R55" s="84"/>
      <c r="S55" s="84"/>
      <c r="T55" s="84"/>
      <c r="U55" s="84"/>
      <c r="V55" s="84"/>
      <c r="W55" s="84"/>
      <c r="X55" s="85"/>
      <c r="Z55" s="11"/>
      <c r="AA55" s="77">
        <v>0</v>
      </c>
      <c r="AB55" s="53">
        <v>3.5</v>
      </c>
      <c r="AC55" s="81">
        <f t="shared" si="11"/>
        <v>0</v>
      </c>
      <c r="AD55" s="81">
        <f t="shared" si="11"/>
        <v>0</v>
      </c>
      <c r="AE55" s="81">
        <f t="shared" si="11"/>
        <v>0</v>
      </c>
      <c r="AF55" s="81">
        <f t="shared" si="11"/>
        <v>0</v>
      </c>
      <c r="AG55" s="81">
        <f t="shared" si="11"/>
        <v>0</v>
      </c>
      <c r="AH55" s="81">
        <f t="shared" si="11"/>
        <v>0</v>
      </c>
      <c r="AI55" s="84"/>
      <c r="AJ55" s="84"/>
      <c r="AK55" s="84"/>
      <c r="AL55" s="84"/>
      <c r="AM55" s="84"/>
      <c r="AN55" s="84"/>
      <c r="AO55" s="84"/>
      <c r="AP55" s="84"/>
      <c r="AQ55" s="84"/>
      <c r="AR55" s="85"/>
    </row>
    <row r="56" spans="6:44" x14ac:dyDescent="0.25">
      <c r="F56" s="11"/>
      <c r="G56" s="77">
        <v>0</v>
      </c>
      <c r="H56" s="53">
        <v>4</v>
      </c>
      <c r="I56" s="81">
        <f t="shared" si="10"/>
        <v>0</v>
      </c>
      <c r="J56" s="81">
        <f t="shared" si="10"/>
        <v>0</v>
      </c>
      <c r="K56" s="81">
        <f t="shared" si="10"/>
        <v>0</v>
      </c>
      <c r="L56" s="81">
        <f t="shared" si="10"/>
        <v>0</v>
      </c>
      <c r="M56" s="81">
        <f t="shared" si="10"/>
        <v>0</v>
      </c>
      <c r="N56" s="81">
        <f t="shared" si="10"/>
        <v>0</v>
      </c>
      <c r="O56" s="81">
        <f t="shared" si="10"/>
        <v>0</v>
      </c>
      <c r="P56" s="84"/>
      <c r="Q56" s="84"/>
      <c r="R56" s="84"/>
      <c r="S56" s="84"/>
      <c r="T56" s="84"/>
      <c r="U56" s="84"/>
      <c r="V56" s="84"/>
      <c r="W56" s="84"/>
      <c r="X56" s="85"/>
      <c r="Z56" s="11"/>
      <c r="AA56" s="77">
        <v>0</v>
      </c>
      <c r="AB56" s="53">
        <v>4</v>
      </c>
      <c r="AC56" s="81">
        <f t="shared" si="11"/>
        <v>0</v>
      </c>
      <c r="AD56" s="81">
        <f t="shared" si="11"/>
        <v>0</v>
      </c>
      <c r="AE56" s="81">
        <f t="shared" si="11"/>
        <v>0</v>
      </c>
      <c r="AF56" s="81">
        <f t="shared" si="11"/>
        <v>0</v>
      </c>
      <c r="AG56" s="81">
        <f t="shared" si="11"/>
        <v>0</v>
      </c>
      <c r="AH56" s="81">
        <f t="shared" si="11"/>
        <v>0</v>
      </c>
      <c r="AI56" s="81">
        <f t="shared" si="11"/>
        <v>0</v>
      </c>
      <c r="AJ56" s="84"/>
      <c r="AK56" s="84"/>
      <c r="AL56" s="84"/>
      <c r="AM56" s="84"/>
      <c r="AN56" s="84"/>
      <c r="AO56" s="84"/>
      <c r="AP56" s="84"/>
      <c r="AQ56" s="84"/>
      <c r="AR56" s="85"/>
    </row>
    <row r="57" spans="6:44" x14ac:dyDescent="0.25">
      <c r="F57" s="11"/>
      <c r="G57" s="77">
        <v>0</v>
      </c>
      <c r="H57" s="53">
        <v>4.5</v>
      </c>
      <c r="I57" s="81">
        <f t="shared" si="10"/>
        <v>0</v>
      </c>
      <c r="J57" s="81">
        <f t="shared" si="10"/>
        <v>0</v>
      </c>
      <c r="K57" s="81">
        <f t="shared" si="10"/>
        <v>0</v>
      </c>
      <c r="L57" s="81">
        <f t="shared" si="10"/>
        <v>0</v>
      </c>
      <c r="M57" s="81">
        <f t="shared" si="10"/>
        <v>0</v>
      </c>
      <c r="N57" s="81">
        <f t="shared" si="10"/>
        <v>0</v>
      </c>
      <c r="O57" s="81">
        <f t="shared" si="10"/>
        <v>0</v>
      </c>
      <c r="P57" s="81">
        <f t="shared" si="10"/>
        <v>0</v>
      </c>
      <c r="Q57" s="84"/>
      <c r="R57" s="84"/>
      <c r="S57" s="84"/>
      <c r="T57" s="84"/>
      <c r="U57" s="84"/>
      <c r="V57" s="84"/>
      <c r="W57" s="84"/>
      <c r="X57" s="85"/>
      <c r="Z57" s="11"/>
      <c r="AA57" s="77">
        <v>0</v>
      </c>
      <c r="AB57" s="53">
        <v>4.5</v>
      </c>
      <c r="AC57" s="81">
        <f t="shared" si="11"/>
        <v>0</v>
      </c>
      <c r="AD57" s="81">
        <f t="shared" si="11"/>
        <v>0</v>
      </c>
      <c r="AE57" s="81">
        <f t="shared" si="11"/>
        <v>0</v>
      </c>
      <c r="AF57" s="81">
        <f t="shared" si="11"/>
        <v>0</v>
      </c>
      <c r="AG57" s="81">
        <f t="shared" si="11"/>
        <v>0</v>
      </c>
      <c r="AH57" s="81">
        <f t="shared" si="11"/>
        <v>0</v>
      </c>
      <c r="AI57" s="81">
        <f t="shared" si="11"/>
        <v>0</v>
      </c>
      <c r="AJ57" s="81">
        <f t="shared" si="11"/>
        <v>0</v>
      </c>
      <c r="AK57" s="84"/>
      <c r="AL57" s="84"/>
      <c r="AM57" s="84"/>
      <c r="AN57" s="84"/>
      <c r="AO57" s="84"/>
      <c r="AP57" s="84"/>
      <c r="AQ57" s="84"/>
      <c r="AR57" s="85"/>
    </row>
    <row r="58" spans="6:44" x14ac:dyDescent="0.25">
      <c r="F58" s="11"/>
      <c r="G58" s="77">
        <v>0</v>
      </c>
      <c r="H58" s="53">
        <v>5</v>
      </c>
      <c r="I58" s="81">
        <f t="shared" si="10"/>
        <v>0</v>
      </c>
      <c r="J58" s="81">
        <f t="shared" si="10"/>
        <v>0</v>
      </c>
      <c r="K58" s="81">
        <f t="shared" si="10"/>
        <v>0</v>
      </c>
      <c r="L58" s="81">
        <f t="shared" si="10"/>
        <v>0</v>
      </c>
      <c r="M58" s="81">
        <f t="shared" si="10"/>
        <v>0</v>
      </c>
      <c r="N58" s="81">
        <f t="shared" si="10"/>
        <v>0</v>
      </c>
      <c r="O58" s="81">
        <f t="shared" si="10"/>
        <v>0</v>
      </c>
      <c r="P58" s="81">
        <f t="shared" si="10"/>
        <v>0</v>
      </c>
      <c r="Q58" s="81">
        <f t="shared" si="10"/>
        <v>0</v>
      </c>
      <c r="R58" s="84"/>
      <c r="S58" s="84"/>
      <c r="T58" s="84"/>
      <c r="U58" s="84"/>
      <c r="V58" s="84"/>
      <c r="W58" s="84"/>
      <c r="X58" s="85"/>
      <c r="Z58" s="11"/>
      <c r="AA58" s="77">
        <v>0</v>
      </c>
      <c r="AB58" s="53">
        <v>5</v>
      </c>
      <c r="AC58" s="81">
        <f t="shared" si="11"/>
        <v>0</v>
      </c>
      <c r="AD58" s="81">
        <f t="shared" si="11"/>
        <v>0</v>
      </c>
      <c r="AE58" s="81">
        <f t="shared" si="11"/>
        <v>0</v>
      </c>
      <c r="AF58" s="81">
        <f t="shared" si="11"/>
        <v>0</v>
      </c>
      <c r="AG58" s="81">
        <f t="shared" si="11"/>
        <v>0</v>
      </c>
      <c r="AH58" s="81">
        <f t="shared" si="11"/>
        <v>0</v>
      </c>
      <c r="AI58" s="81">
        <f t="shared" si="11"/>
        <v>0</v>
      </c>
      <c r="AJ58" s="81">
        <f t="shared" si="11"/>
        <v>0</v>
      </c>
      <c r="AK58" s="81">
        <f t="shared" si="11"/>
        <v>0</v>
      </c>
      <c r="AL58" s="84"/>
      <c r="AM58" s="84"/>
      <c r="AN58" s="84"/>
      <c r="AO58" s="84"/>
      <c r="AP58" s="84"/>
      <c r="AQ58" s="84"/>
      <c r="AR58" s="85"/>
    </row>
    <row r="59" spans="6:44" x14ac:dyDescent="0.25">
      <c r="F59" s="11"/>
      <c r="G59" s="77">
        <v>0</v>
      </c>
      <c r="H59" s="53">
        <v>5.5</v>
      </c>
      <c r="I59" s="81">
        <f t="shared" si="10"/>
        <v>0</v>
      </c>
      <c r="J59" s="81">
        <f t="shared" si="10"/>
        <v>0</v>
      </c>
      <c r="K59" s="81">
        <f t="shared" si="10"/>
        <v>0</v>
      </c>
      <c r="L59" s="81">
        <f t="shared" si="10"/>
        <v>0</v>
      </c>
      <c r="M59" s="81">
        <f t="shared" si="10"/>
        <v>0</v>
      </c>
      <c r="N59" s="81">
        <f t="shared" si="10"/>
        <v>0</v>
      </c>
      <c r="O59" s="81">
        <f t="shared" si="10"/>
        <v>0</v>
      </c>
      <c r="P59" s="81">
        <f t="shared" si="10"/>
        <v>0</v>
      </c>
      <c r="Q59" s="81">
        <f t="shared" si="10"/>
        <v>0</v>
      </c>
      <c r="R59" s="81">
        <f t="shared" si="10"/>
        <v>0</v>
      </c>
      <c r="S59" s="84"/>
      <c r="T59" s="84"/>
      <c r="U59" s="84"/>
      <c r="V59" s="84"/>
      <c r="W59" s="84"/>
      <c r="X59" s="85"/>
      <c r="Z59" s="11"/>
      <c r="AA59" s="77">
        <v>0</v>
      </c>
      <c r="AB59" s="53">
        <v>5.5</v>
      </c>
      <c r="AC59" s="81">
        <f t="shared" si="11"/>
        <v>0</v>
      </c>
      <c r="AD59" s="81">
        <f t="shared" si="11"/>
        <v>0</v>
      </c>
      <c r="AE59" s="81">
        <f t="shared" si="11"/>
        <v>0</v>
      </c>
      <c r="AF59" s="81">
        <f t="shared" si="11"/>
        <v>0</v>
      </c>
      <c r="AG59" s="81">
        <f t="shared" si="11"/>
        <v>0</v>
      </c>
      <c r="AH59" s="81">
        <f t="shared" si="11"/>
        <v>0</v>
      </c>
      <c r="AI59" s="81">
        <f t="shared" si="11"/>
        <v>0</v>
      </c>
      <c r="AJ59" s="81">
        <f t="shared" si="11"/>
        <v>0</v>
      </c>
      <c r="AK59" s="81">
        <f t="shared" si="11"/>
        <v>0</v>
      </c>
      <c r="AL59" s="81">
        <f t="shared" si="11"/>
        <v>0</v>
      </c>
      <c r="AM59" s="84"/>
      <c r="AN59" s="84"/>
      <c r="AO59" s="84"/>
      <c r="AP59" s="84"/>
      <c r="AQ59" s="84"/>
      <c r="AR59" s="85"/>
    </row>
    <row r="60" spans="6:44" x14ac:dyDescent="0.25">
      <c r="F60" s="11"/>
      <c r="G60" s="77">
        <v>0</v>
      </c>
      <c r="H60" s="53">
        <v>6</v>
      </c>
      <c r="I60" s="81">
        <f t="shared" si="10"/>
        <v>0</v>
      </c>
      <c r="J60" s="81">
        <f t="shared" si="10"/>
        <v>0</v>
      </c>
      <c r="K60" s="81">
        <f t="shared" si="10"/>
        <v>0</v>
      </c>
      <c r="L60" s="81">
        <f t="shared" si="10"/>
        <v>0</v>
      </c>
      <c r="M60" s="81">
        <f t="shared" si="10"/>
        <v>0</v>
      </c>
      <c r="N60" s="81">
        <f t="shared" si="10"/>
        <v>0</v>
      </c>
      <c r="O60" s="81">
        <f t="shared" si="10"/>
        <v>0</v>
      </c>
      <c r="P60" s="81">
        <f t="shared" si="10"/>
        <v>0</v>
      </c>
      <c r="Q60" s="81">
        <f t="shared" si="10"/>
        <v>0</v>
      </c>
      <c r="R60" s="81">
        <f t="shared" si="10"/>
        <v>0</v>
      </c>
      <c r="S60" s="81">
        <f t="shared" si="10"/>
        <v>0</v>
      </c>
      <c r="T60" s="84"/>
      <c r="U60" s="84"/>
      <c r="V60" s="84"/>
      <c r="W60" s="84"/>
      <c r="X60" s="85"/>
      <c r="Z60" s="11"/>
      <c r="AA60" s="77">
        <v>0</v>
      </c>
      <c r="AB60" s="53">
        <v>6</v>
      </c>
      <c r="AC60" s="81">
        <f t="shared" si="11"/>
        <v>0</v>
      </c>
      <c r="AD60" s="81">
        <f t="shared" si="11"/>
        <v>0</v>
      </c>
      <c r="AE60" s="81">
        <f t="shared" si="11"/>
        <v>0</v>
      </c>
      <c r="AF60" s="81">
        <f t="shared" si="11"/>
        <v>0</v>
      </c>
      <c r="AG60" s="81">
        <f t="shared" si="11"/>
        <v>0</v>
      </c>
      <c r="AH60" s="81">
        <f t="shared" si="11"/>
        <v>0</v>
      </c>
      <c r="AI60" s="81">
        <f t="shared" si="11"/>
        <v>0</v>
      </c>
      <c r="AJ60" s="81">
        <f t="shared" si="11"/>
        <v>0</v>
      </c>
      <c r="AK60" s="81">
        <f t="shared" si="11"/>
        <v>0</v>
      </c>
      <c r="AL60" s="81">
        <f t="shared" si="11"/>
        <v>0</v>
      </c>
      <c r="AM60" s="81">
        <f t="shared" si="11"/>
        <v>0</v>
      </c>
      <c r="AN60" s="84"/>
      <c r="AO60" s="84"/>
      <c r="AP60" s="84"/>
      <c r="AQ60" s="84"/>
      <c r="AR60" s="85"/>
    </row>
    <row r="61" spans="6:44" x14ac:dyDescent="0.25">
      <c r="F61" s="11"/>
      <c r="G61" s="77">
        <v>0</v>
      </c>
      <c r="H61" s="53">
        <v>6.5</v>
      </c>
      <c r="I61" s="81">
        <f t="shared" si="10"/>
        <v>0</v>
      </c>
      <c r="J61" s="81">
        <f t="shared" si="10"/>
        <v>0</v>
      </c>
      <c r="K61" s="81">
        <f t="shared" si="10"/>
        <v>0</v>
      </c>
      <c r="L61" s="81">
        <f t="shared" si="10"/>
        <v>0</v>
      </c>
      <c r="M61" s="81">
        <f t="shared" si="10"/>
        <v>0</v>
      </c>
      <c r="N61" s="81">
        <f t="shared" si="10"/>
        <v>0</v>
      </c>
      <c r="O61" s="81">
        <f t="shared" si="10"/>
        <v>0</v>
      </c>
      <c r="P61" s="81">
        <f t="shared" si="10"/>
        <v>0</v>
      </c>
      <c r="Q61" s="81">
        <f t="shared" si="10"/>
        <v>0</v>
      </c>
      <c r="R61" s="81">
        <f t="shared" si="10"/>
        <v>0</v>
      </c>
      <c r="S61" s="81">
        <f t="shared" si="10"/>
        <v>0</v>
      </c>
      <c r="T61" s="81">
        <f t="shared" si="10"/>
        <v>0</v>
      </c>
      <c r="U61" s="84"/>
      <c r="V61" s="84"/>
      <c r="W61" s="84"/>
      <c r="X61" s="85"/>
      <c r="Z61" s="11"/>
      <c r="AA61" s="77">
        <v>0</v>
      </c>
      <c r="AB61" s="53">
        <v>6.5</v>
      </c>
      <c r="AC61" s="81">
        <f t="shared" si="11"/>
        <v>0</v>
      </c>
      <c r="AD61" s="81">
        <f t="shared" si="11"/>
        <v>0</v>
      </c>
      <c r="AE61" s="81">
        <f t="shared" si="11"/>
        <v>0</v>
      </c>
      <c r="AF61" s="81">
        <f t="shared" si="11"/>
        <v>0</v>
      </c>
      <c r="AG61" s="81">
        <f t="shared" si="11"/>
        <v>0</v>
      </c>
      <c r="AH61" s="81">
        <f t="shared" si="11"/>
        <v>0</v>
      </c>
      <c r="AI61" s="81">
        <f t="shared" si="11"/>
        <v>0</v>
      </c>
      <c r="AJ61" s="81">
        <f t="shared" si="11"/>
        <v>0</v>
      </c>
      <c r="AK61" s="81">
        <f t="shared" si="11"/>
        <v>0</v>
      </c>
      <c r="AL61" s="81">
        <f t="shared" si="11"/>
        <v>0</v>
      </c>
      <c r="AM61" s="81">
        <f t="shared" si="11"/>
        <v>0</v>
      </c>
      <c r="AN61" s="81">
        <f t="shared" si="11"/>
        <v>0</v>
      </c>
      <c r="AO61" s="84"/>
      <c r="AP61" s="84"/>
      <c r="AQ61" s="84"/>
      <c r="AR61" s="85"/>
    </row>
    <row r="62" spans="6:44" x14ac:dyDescent="0.25">
      <c r="F62" s="11"/>
      <c r="G62" s="77">
        <v>0</v>
      </c>
      <c r="H62" s="53">
        <v>7</v>
      </c>
      <c r="I62" s="81">
        <f t="shared" si="10"/>
        <v>0</v>
      </c>
      <c r="J62" s="81">
        <f t="shared" si="10"/>
        <v>0</v>
      </c>
      <c r="K62" s="81">
        <f t="shared" si="10"/>
        <v>0</v>
      </c>
      <c r="L62" s="81">
        <f t="shared" si="10"/>
        <v>0</v>
      </c>
      <c r="M62" s="81">
        <f t="shared" si="10"/>
        <v>0</v>
      </c>
      <c r="N62" s="81">
        <f t="shared" si="10"/>
        <v>0</v>
      </c>
      <c r="O62" s="81">
        <f t="shared" si="10"/>
        <v>0</v>
      </c>
      <c r="P62" s="81">
        <f t="shared" si="10"/>
        <v>0</v>
      </c>
      <c r="Q62" s="81">
        <f t="shared" si="10"/>
        <v>0</v>
      </c>
      <c r="R62" s="81">
        <f t="shared" si="10"/>
        <v>0</v>
      </c>
      <c r="S62" s="81">
        <f t="shared" si="10"/>
        <v>0</v>
      </c>
      <c r="T62" s="81">
        <f t="shared" si="10"/>
        <v>0</v>
      </c>
      <c r="U62" s="81">
        <f t="shared" si="10"/>
        <v>0</v>
      </c>
      <c r="V62" s="84"/>
      <c r="W62" s="84"/>
      <c r="X62" s="85"/>
      <c r="Z62" s="11"/>
      <c r="AA62" s="77">
        <v>0</v>
      </c>
      <c r="AB62" s="53">
        <v>7</v>
      </c>
      <c r="AC62" s="81">
        <f t="shared" si="11"/>
        <v>0</v>
      </c>
      <c r="AD62" s="81">
        <f t="shared" si="11"/>
        <v>0</v>
      </c>
      <c r="AE62" s="81">
        <f t="shared" si="11"/>
        <v>0</v>
      </c>
      <c r="AF62" s="81">
        <f t="shared" si="11"/>
        <v>0</v>
      </c>
      <c r="AG62" s="81">
        <f t="shared" si="11"/>
        <v>0</v>
      </c>
      <c r="AH62" s="81">
        <f t="shared" si="11"/>
        <v>0</v>
      </c>
      <c r="AI62" s="81">
        <f t="shared" si="11"/>
        <v>0</v>
      </c>
      <c r="AJ62" s="81">
        <f t="shared" si="11"/>
        <v>0</v>
      </c>
      <c r="AK62" s="81">
        <f t="shared" si="11"/>
        <v>0</v>
      </c>
      <c r="AL62" s="81">
        <f t="shared" si="11"/>
        <v>0</v>
      </c>
      <c r="AM62" s="81">
        <f t="shared" si="11"/>
        <v>0</v>
      </c>
      <c r="AN62" s="81">
        <f t="shared" si="11"/>
        <v>0</v>
      </c>
      <c r="AO62" s="81">
        <f t="shared" si="11"/>
        <v>0</v>
      </c>
      <c r="AP62" s="84"/>
      <c r="AQ62" s="84"/>
      <c r="AR62" s="85"/>
    </row>
    <row r="63" spans="6:44" x14ac:dyDescent="0.25">
      <c r="F63" s="11"/>
      <c r="G63" s="77">
        <v>0</v>
      </c>
      <c r="H63" s="53">
        <v>7.5</v>
      </c>
      <c r="I63" s="81">
        <f t="shared" si="10"/>
        <v>0</v>
      </c>
      <c r="J63" s="81">
        <f t="shared" si="10"/>
        <v>0</v>
      </c>
      <c r="K63" s="81">
        <f t="shared" si="10"/>
        <v>0</v>
      </c>
      <c r="L63" s="81">
        <f t="shared" si="10"/>
        <v>0</v>
      </c>
      <c r="M63" s="81">
        <f t="shared" si="10"/>
        <v>0</v>
      </c>
      <c r="N63" s="81">
        <f t="shared" si="10"/>
        <v>0</v>
      </c>
      <c r="O63" s="81">
        <f t="shared" si="10"/>
        <v>0</v>
      </c>
      <c r="P63" s="81">
        <f t="shared" si="10"/>
        <v>0</v>
      </c>
      <c r="Q63" s="81">
        <f t="shared" si="10"/>
        <v>0</v>
      </c>
      <c r="R63" s="81">
        <f t="shared" si="10"/>
        <v>0</v>
      </c>
      <c r="S63" s="81">
        <f t="shared" si="10"/>
        <v>0</v>
      </c>
      <c r="T63" s="81">
        <f t="shared" si="10"/>
        <v>0</v>
      </c>
      <c r="U63" s="81">
        <f t="shared" si="10"/>
        <v>0</v>
      </c>
      <c r="V63" s="81">
        <f t="shared" si="10"/>
        <v>0</v>
      </c>
      <c r="W63" s="84"/>
      <c r="X63" s="85"/>
      <c r="Z63" s="11"/>
      <c r="AA63" s="77">
        <v>0</v>
      </c>
      <c r="AB63" s="53">
        <v>7.5</v>
      </c>
      <c r="AC63" s="81">
        <f t="shared" si="11"/>
        <v>0</v>
      </c>
      <c r="AD63" s="81">
        <f t="shared" si="11"/>
        <v>0</v>
      </c>
      <c r="AE63" s="81">
        <f t="shared" si="11"/>
        <v>0</v>
      </c>
      <c r="AF63" s="81">
        <f t="shared" si="11"/>
        <v>0</v>
      </c>
      <c r="AG63" s="81">
        <f t="shared" si="11"/>
        <v>0</v>
      </c>
      <c r="AH63" s="81">
        <f t="shared" si="11"/>
        <v>0</v>
      </c>
      <c r="AI63" s="81">
        <f t="shared" si="11"/>
        <v>0</v>
      </c>
      <c r="AJ63" s="81">
        <f t="shared" si="11"/>
        <v>0</v>
      </c>
      <c r="AK63" s="81">
        <f t="shared" si="11"/>
        <v>0</v>
      </c>
      <c r="AL63" s="81">
        <f t="shared" si="11"/>
        <v>0</v>
      </c>
      <c r="AM63" s="81">
        <f t="shared" si="11"/>
        <v>0</v>
      </c>
      <c r="AN63" s="81">
        <f t="shared" si="11"/>
        <v>0</v>
      </c>
      <c r="AO63" s="81">
        <f t="shared" si="11"/>
        <v>0</v>
      </c>
      <c r="AP63" s="81">
        <f t="shared" si="11"/>
        <v>0</v>
      </c>
      <c r="AQ63" s="84"/>
      <c r="AR63" s="85"/>
    </row>
    <row r="64" spans="6:44" ht="15.75" thickBot="1" x14ac:dyDescent="0.3">
      <c r="F64" s="13"/>
      <c r="G64" s="80">
        <v>0</v>
      </c>
      <c r="H64" s="56">
        <v>8</v>
      </c>
      <c r="I64" s="82">
        <f t="shared" si="10"/>
        <v>0</v>
      </c>
      <c r="J64" s="82">
        <f t="shared" si="10"/>
        <v>0</v>
      </c>
      <c r="K64" s="82">
        <f t="shared" si="10"/>
        <v>0</v>
      </c>
      <c r="L64" s="82">
        <f t="shared" si="10"/>
        <v>0</v>
      </c>
      <c r="M64" s="82">
        <f t="shared" si="10"/>
        <v>0</v>
      </c>
      <c r="N64" s="82">
        <f t="shared" si="10"/>
        <v>0</v>
      </c>
      <c r="O64" s="82">
        <f t="shared" si="10"/>
        <v>0</v>
      </c>
      <c r="P64" s="82">
        <f t="shared" si="10"/>
        <v>0</v>
      </c>
      <c r="Q64" s="82">
        <f t="shared" si="10"/>
        <v>0</v>
      </c>
      <c r="R64" s="82">
        <f t="shared" si="10"/>
        <v>0</v>
      </c>
      <c r="S64" s="82">
        <f t="shared" si="10"/>
        <v>0</v>
      </c>
      <c r="T64" s="82">
        <f t="shared" si="10"/>
        <v>0</v>
      </c>
      <c r="U64" s="82">
        <f t="shared" si="10"/>
        <v>0</v>
      </c>
      <c r="V64" s="82">
        <f t="shared" si="10"/>
        <v>0</v>
      </c>
      <c r="W64" s="82">
        <f t="shared" si="10"/>
        <v>0</v>
      </c>
      <c r="X64" s="86"/>
      <c r="Z64" s="13"/>
      <c r="AA64" s="80">
        <v>0</v>
      </c>
      <c r="AB64" s="56">
        <v>8</v>
      </c>
      <c r="AC64" s="82">
        <f t="shared" si="11"/>
        <v>0</v>
      </c>
      <c r="AD64" s="82">
        <f t="shared" si="11"/>
        <v>0</v>
      </c>
      <c r="AE64" s="82">
        <f t="shared" si="11"/>
        <v>0</v>
      </c>
      <c r="AF64" s="82">
        <f t="shared" si="11"/>
        <v>0</v>
      </c>
      <c r="AG64" s="82">
        <f t="shared" si="11"/>
        <v>0</v>
      </c>
      <c r="AH64" s="82">
        <f t="shared" si="11"/>
        <v>0</v>
      </c>
      <c r="AI64" s="82">
        <f t="shared" si="11"/>
        <v>0</v>
      </c>
      <c r="AJ64" s="82">
        <f t="shared" si="11"/>
        <v>0</v>
      </c>
      <c r="AK64" s="82">
        <f t="shared" si="11"/>
        <v>0</v>
      </c>
      <c r="AL64" s="82">
        <f t="shared" si="11"/>
        <v>0</v>
      </c>
      <c r="AM64" s="82">
        <f t="shared" si="11"/>
        <v>0</v>
      </c>
      <c r="AN64" s="82">
        <f t="shared" si="11"/>
        <v>0</v>
      </c>
      <c r="AO64" s="82">
        <f t="shared" si="11"/>
        <v>0</v>
      </c>
      <c r="AP64" s="82">
        <f t="shared" si="11"/>
        <v>0</v>
      </c>
      <c r="AQ64" s="82">
        <f t="shared" si="11"/>
        <v>0</v>
      </c>
      <c r="AR64" s="86"/>
    </row>
    <row r="65" spans="6:23" ht="15.75" thickBot="1" x14ac:dyDescent="0.3"/>
    <row r="66" spans="6:23" x14ac:dyDescent="0.25">
      <c r="F66" s="49" t="s">
        <v>21</v>
      </c>
      <c r="G66" s="9">
        <v>0</v>
      </c>
      <c r="H66" s="50">
        <v>1</v>
      </c>
      <c r="I66" s="50">
        <v>2</v>
      </c>
      <c r="J66" s="50">
        <v>3</v>
      </c>
      <c r="K66" s="50">
        <v>4</v>
      </c>
      <c r="L66" s="50">
        <v>5</v>
      </c>
      <c r="M66" s="50">
        <v>6</v>
      </c>
      <c r="N66" s="50">
        <v>7</v>
      </c>
      <c r="O66" s="50">
        <v>8</v>
      </c>
      <c r="P66" s="50">
        <v>9</v>
      </c>
      <c r="Q66" s="50">
        <v>10</v>
      </c>
      <c r="R66" s="50">
        <v>11</v>
      </c>
      <c r="S66" s="50">
        <v>12</v>
      </c>
      <c r="T66" s="50">
        <v>13</v>
      </c>
      <c r="U66" s="50">
        <v>14</v>
      </c>
      <c r="V66" s="50">
        <v>15</v>
      </c>
      <c r="W66" s="51">
        <v>16</v>
      </c>
    </row>
    <row r="67" spans="6:23" x14ac:dyDescent="0.25">
      <c r="F67" s="52" t="s">
        <v>149</v>
      </c>
      <c r="H67" s="53">
        <f>H66*$D$19</f>
        <v>0.5</v>
      </c>
      <c r="I67" s="53">
        <f t="shared" ref="I67:W67" si="12">I66*$D$19</f>
        <v>1</v>
      </c>
      <c r="J67" s="53">
        <f t="shared" si="12"/>
        <v>1.5</v>
      </c>
      <c r="K67" s="53">
        <f t="shared" si="12"/>
        <v>2</v>
      </c>
      <c r="L67" s="53">
        <f t="shared" si="12"/>
        <v>2.5</v>
      </c>
      <c r="M67" s="53">
        <f t="shared" si="12"/>
        <v>3</v>
      </c>
      <c r="N67" s="53">
        <f t="shared" si="12"/>
        <v>3.5</v>
      </c>
      <c r="O67" s="53">
        <f t="shared" si="12"/>
        <v>4</v>
      </c>
      <c r="P67" s="53">
        <f t="shared" si="12"/>
        <v>4.5</v>
      </c>
      <c r="Q67" s="53">
        <f t="shared" si="12"/>
        <v>5</v>
      </c>
      <c r="R67" s="53">
        <f t="shared" si="12"/>
        <v>5.5</v>
      </c>
      <c r="S67" s="53">
        <f t="shared" si="12"/>
        <v>6</v>
      </c>
      <c r="T67" s="53">
        <f t="shared" si="12"/>
        <v>6.5</v>
      </c>
      <c r="U67" s="53">
        <f t="shared" si="12"/>
        <v>7</v>
      </c>
      <c r="V67" s="53">
        <f t="shared" si="12"/>
        <v>7.5</v>
      </c>
      <c r="W67" s="54">
        <f t="shared" si="12"/>
        <v>8</v>
      </c>
    </row>
    <row r="68" spans="6:23" x14ac:dyDescent="0.25">
      <c r="F68" s="52" t="s">
        <v>150</v>
      </c>
      <c r="H68" s="53">
        <f>IF(H17&lt;=$D$21, IF(H17=$D$21, $D$17*$D$19*$D$20 + $D$17, $D$17*$D$19*$D$20), 0)</f>
        <v>1.7749999999999999</v>
      </c>
      <c r="I68" s="53">
        <f t="shared" ref="I68:W68" si="13">IF(I17&lt;=$D$21, IF(I17=$D$21, $D$17*$D$19*$D$20 + $D$17, $D$17*$D$19*$D$20), 0)</f>
        <v>1.7749999999999999</v>
      </c>
      <c r="J68" s="53">
        <f t="shared" si="13"/>
        <v>101.77500000000001</v>
      </c>
      <c r="K68" s="53">
        <f t="shared" si="13"/>
        <v>0</v>
      </c>
      <c r="L68" s="53">
        <f t="shared" si="13"/>
        <v>0</v>
      </c>
      <c r="M68" s="53">
        <f t="shared" si="13"/>
        <v>0</v>
      </c>
      <c r="N68" s="53">
        <f t="shared" si="13"/>
        <v>0</v>
      </c>
      <c r="O68" s="53">
        <f t="shared" si="13"/>
        <v>0</v>
      </c>
      <c r="P68" s="53">
        <f t="shared" si="13"/>
        <v>0</v>
      </c>
      <c r="Q68" s="53">
        <f t="shared" si="13"/>
        <v>0</v>
      </c>
      <c r="R68" s="53">
        <f t="shared" si="13"/>
        <v>0</v>
      </c>
      <c r="S68" s="53">
        <f t="shared" si="13"/>
        <v>0</v>
      </c>
      <c r="T68" s="53">
        <f t="shared" si="13"/>
        <v>0</v>
      </c>
      <c r="U68" s="53">
        <f t="shared" si="13"/>
        <v>0</v>
      </c>
      <c r="V68" s="53">
        <f t="shared" si="13"/>
        <v>0</v>
      </c>
      <c r="W68" s="54">
        <f t="shared" si="13"/>
        <v>0</v>
      </c>
    </row>
    <row r="69" spans="6:23" ht="15.75" thickBot="1" x14ac:dyDescent="0.3">
      <c r="F69" s="55" t="s">
        <v>151</v>
      </c>
      <c r="G69" s="14"/>
      <c r="H69" s="56" cm="1">
        <f t="array" ref="H69:W69">TRANSPOSE(INDEX(AC28:AR43, 0, MATCH($D$24, AC27:AR27, 0)))</f>
        <v>0</v>
      </c>
      <c r="I69" s="56">
        <v>0.99115948458075465</v>
      </c>
      <c r="J69" s="56">
        <v>0</v>
      </c>
      <c r="K69" s="56">
        <v>0</v>
      </c>
      <c r="L69" s="56">
        <v>0</v>
      </c>
      <c r="M69" s="56">
        <v>0</v>
      </c>
      <c r="N69" s="56">
        <v>0</v>
      </c>
      <c r="O69" s="56">
        <v>0</v>
      </c>
      <c r="P69" s="56">
        <v>0</v>
      </c>
      <c r="Q69" s="56">
        <v>0</v>
      </c>
      <c r="R69" s="56">
        <v>0</v>
      </c>
      <c r="S69" s="56">
        <v>0</v>
      </c>
      <c r="T69" s="56">
        <v>0</v>
      </c>
      <c r="U69" s="56">
        <v>0</v>
      </c>
      <c r="V69" s="56">
        <v>0</v>
      </c>
      <c r="W69" s="132">
        <v>0</v>
      </c>
    </row>
    <row r="70" spans="6:23" ht="15.75" thickBot="1" x14ac:dyDescent="0.3"/>
    <row r="71" spans="6:23" x14ac:dyDescent="0.25">
      <c r="F71" s="49" t="s">
        <v>153</v>
      </c>
      <c r="G71" s="9"/>
      <c r="H71" s="90">
        <f>SUMPRODUCT(H68:W68, H69:W69)</f>
        <v>1.7593080851308394</v>
      </c>
    </row>
    <row r="72" spans="6:23" ht="15.75" thickBot="1" x14ac:dyDescent="0.3">
      <c r="F72" s="55" t="s">
        <v>154</v>
      </c>
      <c r="G72" s="14"/>
      <c r="H72" s="92">
        <f>H71*H23</f>
        <v>1.7178449999999998</v>
      </c>
    </row>
  </sheetData>
  <mergeCells count="4">
    <mergeCell ref="B2:D2"/>
    <mergeCell ref="B5:E5"/>
    <mergeCell ref="B14:G14"/>
    <mergeCell ref="H22:J22"/>
  </mergeCells>
  <conditionalFormatting sqref="H64 X64 AB64 AR64">
    <cfRule type="expression" dxfId="27" priority="10">
      <formula>AND(#REF!=$D$14+$D$9, I$17=$D$13+$D$9)</formula>
    </cfRule>
  </conditionalFormatting>
  <conditionalFormatting sqref="H23:W23">
    <cfRule type="expression" dxfId="26" priority="6">
      <formula>H17&gt;$D$10</formula>
    </cfRule>
    <cfRule type="expression" dxfId="25" priority="7">
      <formula>H17&gt;$D$10</formula>
    </cfRule>
  </conditionalFormatting>
  <conditionalFormatting sqref="H19:W19">
    <cfRule type="expression" dxfId="24" priority="27">
      <formula>H17&lt;=$D$21</formula>
    </cfRule>
    <cfRule type="expression" dxfId="23" priority="28">
      <formula>H17&gt;$D$21</formula>
    </cfRule>
  </conditionalFormatting>
  <conditionalFormatting sqref="I28:X43">
    <cfRule type="expression" dxfId="22" priority="29">
      <formula>AND($H28=$D$25, I$27 = $D$24)</formula>
    </cfRule>
  </conditionalFormatting>
  <conditionalFormatting sqref="I49:X64">
    <cfRule type="expression" dxfId="21" priority="30">
      <formula>AND($H49=$D$25, I$48=$D$24)</formula>
    </cfRule>
  </conditionalFormatting>
  <conditionalFormatting sqref="AC28:AR43">
    <cfRule type="expression" dxfId="20" priority="31">
      <formula>AND($AB28=$D$25, AC$27=$D$24)</formula>
    </cfRule>
  </conditionalFormatting>
  <conditionalFormatting sqref="AC49:AR64">
    <cfRule type="expression" dxfId="19" priority="32">
      <formula>AND($AB49=$D$25, AC$48=$D$24)</formula>
    </cfRule>
  </conditionalFormatting>
  <dataValidations count="2">
    <dataValidation type="list" allowBlank="1" showInputMessage="1" showErrorMessage="1" sqref="G45" xr:uid="{4522B5DB-9A5C-44FD-8722-05241AA45603}">
      <formula1>"1,2,4,Cont"</formula1>
    </dataValidation>
    <dataValidation type="list" allowBlank="1" showInputMessage="1" showErrorMessage="1" sqref="D18" xr:uid="{B039D0BC-8F66-4FAA-9A41-FE23FC53E3D8}">
      <formula1>"1,2,4,Continuous"</formula1>
    </dataValidation>
  </dataValidations>
  <hyperlinks>
    <hyperlink ref="H22" location="'Rate and discount'!B27" display="'Rate and discount'!B27" xr:uid="{F9320250-2191-40C8-B03F-F96936D151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B611-7607-46F7-BB33-9888887E235D}">
  <sheetPr codeName="Sheet5"/>
  <dimension ref="A1:BL110"/>
  <sheetViews>
    <sheetView workbookViewId="0">
      <selection activeCell="D40" sqref="D40"/>
    </sheetView>
  </sheetViews>
  <sheetFormatPr defaultRowHeight="15" x14ac:dyDescent="0.25"/>
  <cols>
    <col min="2" max="2" width="22.28515625" bestFit="1" customWidth="1"/>
    <col min="4" max="4" width="10" bestFit="1" customWidth="1"/>
    <col min="6" max="6" width="12" bestFit="1" customWidth="1"/>
    <col min="26" max="26" width="11.85546875" bestFit="1" customWidth="1"/>
  </cols>
  <sheetData>
    <row r="1" spans="1:6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64" ht="20.25" thickBot="1" x14ac:dyDescent="0.35">
      <c r="A2" s="1"/>
      <c r="B2" s="150" t="s">
        <v>90</v>
      </c>
      <c r="C2" s="150"/>
      <c r="D2" s="150"/>
      <c r="E2" s="150"/>
      <c r="F2" s="150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</row>
    <row r="4" spans="1:64" ht="18" thickBot="1" x14ac:dyDescent="0.35">
      <c r="A4" s="1"/>
      <c r="B4" s="144" t="s">
        <v>98</v>
      </c>
      <c r="C4" s="144"/>
      <c r="D4" s="144"/>
      <c r="E4" s="144"/>
      <c r="F4" s="144"/>
      <c r="G4" s="144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</row>
    <row r="5" spans="1:64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</row>
    <row r="6" spans="1:64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</row>
    <row r="7" spans="1:64" x14ac:dyDescent="0.25">
      <c r="A7" s="1"/>
      <c r="B7" s="8" t="s">
        <v>19</v>
      </c>
      <c r="C7" s="9" t="s">
        <v>5</v>
      </c>
      <c r="D7" s="21">
        <v>100000000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</row>
    <row r="8" spans="1:64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</row>
    <row r="9" spans="1:64" ht="15.75" thickBot="1" x14ac:dyDescent="0.3">
      <c r="A9" s="1"/>
      <c r="B9" s="11" t="s">
        <v>20</v>
      </c>
      <c r="C9" s="15" t="s">
        <v>11</v>
      </c>
      <c r="D9" s="6">
        <f>1/D8</f>
        <v>0.5</v>
      </c>
      <c r="E9" s="1"/>
      <c r="F9" s="13" t="s">
        <v>91</v>
      </c>
      <c r="G9" s="72">
        <v>1</v>
      </c>
      <c r="H9" s="70">
        <v>0.97870000000000001</v>
      </c>
      <c r="I9" s="70">
        <v>0.95709999999999995</v>
      </c>
      <c r="J9" s="70">
        <v>0.93610000000000004</v>
      </c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</row>
    <row r="10" spans="1:64" ht="15.75" thickBot="1" x14ac:dyDescent="0.3">
      <c r="A10" s="1"/>
      <c r="B10" s="13" t="s">
        <v>61</v>
      </c>
      <c r="C10" s="14"/>
      <c r="D10" s="25">
        <v>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</row>
    <row r="11" spans="1:64" ht="15.75" thickBot="1" x14ac:dyDescent="0.3">
      <c r="A11" s="1"/>
      <c r="B11" s="1"/>
      <c r="C11" s="1"/>
      <c r="D11" s="1"/>
      <c r="E11" s="1"/>
      <c r="F11" s="1" t="s">
        <v>99</v>
      </c>
      <c r="G11" s="1"/>
      <c r="H11" s="18">
        <v>0</v>
      </c>
      <c r="I11" s="1" t="s">
        <v>14</v>
      </c>
      <c r="J11" s="143" t="s">
        <v>158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</row>
    <row r="12" spans="1:64" ht="15.75" thickBot="1" x14ac:dyDescent="0.3">
      <c r="A12" s="1"/>
      <c r="B12" s="8" t="s">
        <v>103</v>
      </c>
      <c r="C12" s="9"/>
      <c r="D12" s="21">
        <v>0.5</v>
      </c>
      <c r="E12" s="1"/>
      <c r="F12" s="1" t="s">
        <v>104</v>
      </c>
      <c r="G12" s="1"/>
      <c r="H12" s="151" t="s">
        <v>100</v>
      </c>
      <c r="I12" s="151"/>
      <c r="J12" s="15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</row>
    <row r="13" spans="1:64" ht="15.75" thickBot="1" x14ac:dyDescent="0.3">
      <c r="A13" s="1"/>
      <c r="B13" s="11" t="s">
        <v>93</v>
      </c>
      <c r="C13" s="1"/>
      <c r="D13" s="24">
        <v>0.5</v>
      </c>
      <c r="E13" s="1"/>
      <c r="F13" s="43" t="s">
        <v>64</v>
      </c>
      <c r="G13" s="121">
        <v>1</v>
      </c>
      <c r="H13" s="121">
        <f>IF(H9&gt;0, ($H$11/360/$D$9)*G9+(($D$9-($H$11/360))/$D$9)*H9, 0)</f>
        <v>0.97870000000000001</v>
      </c>
      <c r="I13" s="121">
        <f t="shared" ref="I13:W13" si="0">IF(I9&gt;0, ($H$11/360/$D$9)*H9+(($D$9-($H$11/360))/$D$9)*I9, 0)</f>
        <v>0.95709999999999995</v>
      </c>
      <c r="J13" s="121">
        <f t="shared" si="0"/>
        <v>0.93610000000000004</v>
      </c>
      <c r="K13" s="121">
        <f t="shared" si="0"/>
        <v>0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</row>
    <row r="14" spans="1:64" ht="15.75" thickBot="1" x14ac:dyDescent="0.3">
      <c r="A14" s="1"/>
      <c r="B14" s="13" t="s">
        <v>94</v>
      </c>
      <c r="C14" s="14"/>
      <c r="D14" s="25">
        <v>1</v>
      </c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</row>
    <row r="15" spans="1:64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</row>
    <row r="16" spans="1:64" x14ac:dyDescent="0.25">
      <c r="A16" s="1"/>
      <c r="B16" s="1"/>
      <c r="C16" s="1"/>
      <c r="D16" s="1"/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0.97870000000000001</v>
      </c>
      <c r="J16" s="78">
        <v>0.95709999999999995</v>
      </c>
      <c r="K16" s="78">
        <v>0.93610000000000004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0.97870000000000001</v>
      </c>
      <c r="AD16" s="78">
        <f t="shared" ref="AD16:AR16" si="1">I13</f>
        <v>0.95709999999999995</v>
      </c>
      <c r="AE16" s="78">
        <f t="shared" si="1"/>
        <v>0.93610000000000004</v>
      </c>
      <c r="AF16" s="78">
        <f t="shared" si="1"/>
        <v>0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</row>
    <row r="17" spans="1:64" x14ac:dyDescent="0.25">
      <c r="A17" s="1"/>
      <c r="B17" s="1"/>
      <c r="C17" s="1"/>
      <c r="D17" s="1"/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x14ac:dyDescent="0.25">
      <c r="A18" s="1"/>
      <c r="B18" s="1"/>
      <c r="C18" s="1"/>
      <c r="D18" s="1"/>
      <c r="E18" s="1"/>
      <c r="F18" s="11"/>
      <c r="G18" s="77">
        <f t="array" ref="G18:G33">TRANSPOSE(H9:W9)</f>
        <v>0.97870000000000001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0.97870000000000001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x14ac:dyDescent="0.25">
      <c r="A19" s="1"/>
      <c r="B19" s="1"/>
      <c r="C19" s="1"/>
      <c r="D19" s="1"/>
      <c r="E19" s="1"/>
      <c r="F19" s="5"/>
      <c r="G19" s="77">
        <v>0.95709999999999995</v>
      </c>
      <c r="H19" s="53">
        <v>1</v>
      </c>
      <c r="I19" s="81">
        <f>IF(G19&gt;0, G19/$I$16, 0)</f>
        <v>0.97792990701951565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0.95709999999999995</v>
      </c>
      <c r="AB19" s="53">
        <v>1</v>
      </c>
      <c r="AC19" s="81">
        <f>IF($AA19&gt;0, $AA19/AC$16, 0)</f>
        <v>0.97792990701951565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</row>
    <row r="20" spans="1:64" x14ac:dyDescent="0.25">
      <c r="A20" s="1"/>
      <c r="B20" s="1"/>
      <c r="C20" s="1"/>
      <c r="D20" s="1"/>
      <c r="E20" s="1"/>
      <c r="F20" s="11"/>
      <c r="G20" s="77">
        <v>0.93610000000000004</v>
      </c>
      <c r="H20" s="53">
        <v>1.5</v>
      </c>
      <c r="I20" s="81">
        <f t="shared" ref="I20:I33" si="4">IF(G20&gt;0, G20/$I$16, 0)</f>
        <v>0.9564728721773782</v>
      </c>
      <c r="J20" s="1">
        <f>IF(G20&gt;0, G20/$J$16, 0)</f>
        <v>0.97805871904712161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0.93610000000000004</v>
      </c>
      <c r="AB20" s="53">
        <v>1.5</v>
      </c>
      <c r="AC20" s="81">
        <f t="shared" ref="AC20:AQ33" si="5">IF($AA20&gt;0, $AA20/AC$16, 0)</f>
        <v>0.9564728721773782</v>
      </c>
      <c r="AD20" s="81">
        <f t="shared" si="5"/>
        <v>0.97805871904712161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</row>
    <row r="21" spans="1:64" x14ac:dyDescent="0.25">
      <c r="A21" s="1"/>
      <c r="B21" s="1"/>
      <c r="C21" s="1"/>
      <c r="D21" s="1"/>
      <c r="E21" s="1"/>
      <c r="F21" s="11"/>
      <c r="G21" s="77">
        <v>0</v>
      </c>
      <c r="H21" s="53">
        <v>2</v>
      </c>
      <c r="I21" s="81">
        <f t="shared" si="4"/>
        <v>0</v>
      </c>
      <c r="J21" s="1">
        <f t="shared" ref="J21:J33" si="6">IF(G21&gt;0, G21/$J$16, 0)</f>
        <v>0</v>
      </c>
      <c r="K21" s="1">
        <f>IF(G21&gt;0, G21/$K$16, 0)</f>
        <v>0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</v>
      </c>
      <c r="AB21" s="53">
        <v>2</v>
      </c>
      <c r="AC21" s="81">
        <f t="shared" si="5"/>
        <v>0</v>
      </c>
      <c r="AD21" s="81">
        <f t="shared" si="5"/>
        <v>0</v>
      </c>
      <c r="AE21" s="81">
        <f t="shared" si="5"/>
        <v>0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</row>
    <row r="22" spans="1:64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</row>
    <row r="23" spans="1:64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</row>
    <row r="24" spans="1:64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</row>
    <row r="25" spans="1:64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</row>
    <row r="26" spans="1:64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</row>
    <row r="27" spans="1:64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</row>
    <row r="28" spans="1:64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</row>
    <row r="31" spans="1:64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</row>
    <row r="32" spans="1:64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</row>
    <row r="33" spans="1:64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</row>
    <row r="34" spans="1:6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</row>
    <row r="35" spans="1:64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</row>
    <row r="37" spans="1:64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0.97870000000000001</v>
      </c>
      <c r="J37" s="78">
        <f t="shared" ref="J37:X37" si="18">I9</f>
        <v>0.95709999999999995</v>
      </c>
      <c r="K37" s="78">
        <f t="shared" si="18"/>
        <v>0.93610000000000004</v>
      </c>
      <c r="L37" s="78">
        <f t="shared" si="18"/>
        <v>0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0.97870000000000001</v>
      </c>
      <c r="AD37" s="78">
        <f t="shared" ref="AD37:AR37" si="19">I13</f>
        <v>0.95709999999999995</v>
      </c>
      <c r="AE37" s="78">
        <f t="shared" si="19"/>
        <v>0.93610000000000004</v>
      </c>
      <c r="AF37" s="78">
        <f t="shared" si="19"/>
        <v>0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</row>
    <row r="38" spans="1:64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x14ac:dyDescent="0.25">
      <c r="A39" s="1"/>
      <c r="B39" s="1"/>
      <c r="C39" s="1"/>
      <c r="D39" s="1"/>
      <c r="E39" s="1"/>
      <c r="F39" s="11"/>
      <c r="G39" s="77">
        <f t="array" ref="G39:G54">TRANSPOSE(H9:W9)</f>
        <v>0.97870000000000001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0.97870000000000001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 x14ac:dyDescent="0.25">
      <c r="A40" s="1"/>
      <c r="B40" s="1"/>
      <c r="C40" s="1"/>
      <c r="D40" s="1"/>
      <c r="E40" s="1"/>
      <c r="F40" s="5"/>
      <c r="G40" s="77">
        <v>0.95709999999999995</v>
      </c>
      <c r="H40" s="53">
        <v>1</v>
      </c>
      <c r="I40" s="81">
        <f>IF(I19&gt;0, IF(TYPE($G$35)=1, $G$35 * ((I19^(-1/($G$35*($H40-I$38))))-1), -(LN(I19)/($H40-I$38))), 0)</f>
        <v>4.513634938877864E-2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0.95709999999999995</v>
      </c>
      <c r="AB40" s="53">
        <v>1</v>
      </c>
      <c r="AC40" s="81">
        <f>IF(AC19&gt;0, IF(TYPE($G$35)=1, $G$35 * ((AC19^(-1/($G$35*($AB40-AC$38))))-1), -(LN(AC19)/($AB40-AC$38))), 0)</f>
        <v>4.513634938877864E-2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</row>
    <row r="41" spans="1:64" x14ac:dyDescent="0.25">
      <c r="A41" s="1"/>
      <c r="B41" s="1"/>
      <c r="C41" s="1"/>
      <c r="D41" s="1"/>
      <c r="E41" s="1"/>
      <c r="F41" s="11"/>
      <c r="G41" s="77">
        <v>0.93610000000000004</v>
      </c>
      <c r="H41" s="53">
        <v>1.5</v>
      </c>
      <c r="I41" s="81">
        <f t="shared" ref="I41:W54" si="22">IF(I20&gt;0, IF(TYPE($G$35)=1, $G$35 * ((I20^(-1/($G$35*($H41-I$38))))-1), -(LN(I20)/($H41-I$38))), 0)</f>
        <v>4.500167095426777E-2</v>
      </c>
      <c r="J41" s="81">
        <f t="shared" si="22"/>
        <v>4.4867001388740224E-2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0.93610000000000004</v>
      </c>
      <c r="AB41" s="53">
        <v>1.5</v>
      </c>
      <c r="AC41" s="81">
        <f t="shared" ref="AC41:AC54" si="23">IF(AC20&gt;0, IF(TYPE($G$35)=1, $G$35 * ((AC20^(-1/($G$35*($AB41-AC$38))))-1), -(LN(AC20)/($AB41-AC$38))), 0)</f>
        <v>4.500167095426777E-2</v>
      </c>
      <c r="AD41" s="81">
        <f t="shared" ref="AD41" si="24">IF(AD20&gt;0, IF(TYPE($G$35)=1, $G$35 * ((AD20^(-1/($G$35*($H41-AD$38))))-1), -(LN(AD20)/($H41-AD$38))), 0)</f>
        <v>4.4867001388740224E-2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</row>
    <row r="42" spans="1:64" x14ac:dyDescent="0.25">
      <c r="A42" s="1"/>
      <c r="B42" s="1"/>
      <c r="C42" s="1"/>
      <c r="D42" s="1"/>
      <c r="E42" s="1"/>
      <c r="F42" s="11"/>
      <c r="G42" s="77">
        <v>0</v>
      </c>
      <c r="H42" s="53">
        <v>2</v>
      </c>
      <c r="I42" s="81">
        <f t="shared" si="22"/>
        <v>0</v>
      </c>
      <c r="J42" s="81">
        <f t="shared" si="22"/>
        <v>0</v>
      </c>
      <c r="K42" s="81">
        <f t="shared" si="22"/>
        <v>0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</v>
      </c>
      <c r="AB42" s="53">
        <v>2</v>
      </c>
      <c r="AC42" s="81">
        <f t="shared" si="23"/>
        <v>0</v>
      </c>
      <c r="AD42" s="81">
        <f t="shared" ref="AD42:AE42" si="25">IF(AD21&gt;0, IF(TYPE($G$35)=1, $G$35 * ((AD21^(-1/($G$35*($H42-AD$38))))-1), -(LN(AD21)/($H42-AD$38))), 0)</f>
        <v>0</v>
      </c>
      <c r="AE42" s="81">
        <f t="shared" si="25"/>
        <v>0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</row>
    <row r="43" spans="1:64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ref="AD43:AF43" si="26">IF(AD22&gt;0, IF(TYPE($G$35)=1, $G$35 * ((AD22^(-1/($G$35*($H43-AD$38))))-1), -(LN(AD22)/($H43-AD$38))), 0)</f>
        <v>0</v>
      </c>
      <c r="AE43" s="81">
        <f t="shared" si="26"/>
        <v>0</v>
      </c>
      <c r="AF43" s="81">
        <f t="shared" si="26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</row>
    <row r="44" spans="1:64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ref="AD44:AG44" si="27">IF(AD23&gt;0, IF(TYPE($G$35)=1, $G$35 * ((AD23^(-1/($G$35*($H44-AD$38))))-1), -(LN(AD23)/($H44-AD$38))), 0)</f>
        <v>0</v>
      </c>
      <c r="AE44" s="81">
        <f t="shared" si="27"/>
        <v>0</v>
      </c>
      <c r="AF44" s="81">
        <f t="shared" si="27"/>
        <v>0</v>
      </c>
      <c r="AG44" s="81">
        <f t="shared" si="27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</row>
    <row r="45" spans="1:64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ref="AD45:AH45" si="28">IF(AD24&gt;0, IF(TYPE($G$35)=1, $G$35 * ((AD24^(-1/($G$35*($H45-AD$38))))-1), -(LN(AD24)/($H45-AD$38))), 0)</f>
        <v>0</v>
      </c>
      <c r="AE45" s="81">
        <f t="shared" si="28"/>
        <v>0</v>
      </c>
      <c r="AF45" s="81">
        <f t="shared" si="28"/>
        <v>0</v>
      </c>
      <c r="AG45" s="81">
        <f t="shared" si="28"/>
        <v>0</v>
      </c>
      <c r="AH45" s="81">
        <f t="shared" si="28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ref="AD46:AI46" si="29">IF(AD25&gt;0, IF(TYPE($G$35)=1, $G$35 * ((AD25^(-1/($G$35*($H46-AD$38))))-1), -(LN(AD25)/($H46-AD$38))), 0)</f>
        <v>0</v>
      </c>
      <c r="AE46" s="81">
        <f t="shared" si="29"/>
        <v>0</v>
      </c>
      <c r="AF46" s="81">
        <f t="shared" si="29"/>
        <v>0</v>
      </c>
      <c r="AG46" s="81">
        <f t="shared" si="29"/>
        <v>0</v>
      </c>
      <c r="AH46" s="81">
        <f t="shared" si="29"/>
        <v>0</v>
      </c>
      <c r="AI46" s="81">
        <f t="shared" si="29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ref="AD47:AJ47" si="30">IF(AD26&gt;0, IF(TYPE($G$35)=1, $G$35 * ((AD26^(-1/($G$35*($H47-AD$38))))-1), -(LN(AD26)/($H47-AD$38))), 0)</f>
        <v>0</v>
      </c>
      <c r="AE47" s="81">
        <f t="shared" si="30"/>
        <v>0</v>
      </c>
      <c r="AF47" s="81">
        <f t="shared" si="30"/>
        <v>0</v>
      </c>
      <c r="AG47" s="81">
        <f t="shared" si="30"/>
        <v>0</v>
      </c>
      <c r="AH47" s="81">
        <f t="shared" si="30"/>
        <v>0</v>
      </c>
      <c r="AI47" s="81">
        <f t="shared" si="30"/>
        <v>0</v>
      </c>
      <c r="AJ47" s="81">
        <f t="shared" si="30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ref="AD48:AK48" si="31">IF(AD27&gt;0, IF(TYPE($G$35)=1, $G$35 * ((AD27^(-1/($G$35*($H48-AD$38))))-1), -(LN(AD27)/($H48-AD$38))), 0)</f>
        <v>0</v>
      </c>
      <c r="AE48" s="81">
        <f t="shared" si="31"/>
        <v>0</v>
      </c>
      <c r="AF48" s="81">
        <f t="shared" si="31"/>
        <v>0</v>
      </c>
      <c r="AG48" s="81">
        <f t="shared" si="31"/>
        <v>0</v>
      </c>
      <c r="AH48" s="81">
        <f t="shared" si="31"/>
        <v>0</v>
      </c>
      <c r="AI48" s="81">
        <f t="shared" si="31"/>
        <v>0</v>
      </c>
      <c r="AJ48" s="81">
        <f t="shared" si="31"/>
        <v>0</v>
      </c>
      <c r="AK48" s="81">
        <f t="shared" si="31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64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ref="AD49:AL49" si="32">IF(AD28&gt;0, IF(TYPE($G$35)=1, $G$35 * ((AD28^(-1/($G$35*($H49-AD$38))))-1), -(LN(AD28)/($H49-AD$38))), 0)</f>
        <v>0</v>
      </c>
      <c r="AE49" s="81">
        <f t="shared" si="32"/>
        <v>0</v>
      </c>
      <c r="AF49" s="81">
        <f t="shared" si="32"/>
        <v>0</v>
      </c>
      <c r="AG49" s="81">
        <f t="shared" si="32"/>
        <v>0</v>
      </c>
      <c r="AH49" s="81">
        <f t="shared" si="32"/>
        <v>0</v>
      </c>
      <c r="AI49" s="81">
        <f t="shared" si="32"/>
        <v>0</v>
      </c>
      <c r="AJ49" s="81">
        <f t="shared" si="32"/>
        <v>0</v>
      </c>
      <c r="AK49" s="81">
        <f t="shared" si="32"/>
        <v>0</v>
      </c>
      <c r="AL49" s="81">
        <f t="shared" si="32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</row>
    <row r="50" spans="1:64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ref="AD50:AM50" si="33">IF(AD29&gt;0, IF(TYPE($G$35)=1, $G$35 * ((AD29^(-1/($G$35*($H50-AD$38))))-1), -(LN(AD29)/($H50-AD$38))), 0)</f>
        <v>0</v>
      </c>
      <c r="AE50" s="81">
        <f t="shared" si="33"/>
        <v>0</v>
      </c>
      <c r="AF50" s="81">
        <f t="shared" si="33"/>
        <v>0</v>
      </c>
      <c r="AG50" s="81">
        <f t="shared" si="33"/>
        <v>0</v>
      </c>
      <c r="AH50" s="81">
        <f t="shared" si="33"/>
        <v>0</v>
      </c>
      <c r="AI50" s="81">
        <f t="shared" si="33"/>
        <v>0</v>
      </c>
      <c r="AJ50" s="81">
        <f t="shared" si="33"/>
        <v>0</v>
      </c>
      <c r="AK50" s="81">
        <f t="shared" si="33"/>
        <v>0</v>
      </c>
      <c r="AL50" s="81">
        <f t="shared" si="33"/>
        <v>0</v>
      </c>
      <c r="AM50" s="81">
        <f t="shared" si="33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</row>
    <row r="51" spans="1:64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ref="AD51:AN51" si="34">IF(AD30&gt;0, IF(TYPE($G$35)=1, $G$35 * ((AD30^(-1/($G$35*($H51-AD$38))))-1), -(LN(AD30)/($H51-AD$38))), 0)</f>
        <v>0</v>
      </c>
      <c r="AE51" s="81">
        <f t="shared" si="34"/>
        <v>0</v>
      </c>
      <c r="AF51" s="81">
        <f t="shared" si="34"/>
        <v>0</v>
      </c>
      <c r="AG51" s="81">
        <f t="shared" si="34"/>
        <v>0</v>
      </c>
      <c r="AH51" s="81">
        <f t="shared" si="34"/>
        <v>0</v>
      </c>
      <c r="AI51" s="81">
        <f t="shared" si="34"/>
        <v>0</v>
      </c>
      <c r="AJ51" s="81">
        <f t="shared" si="34"/>
        <v>0</v>
      </c>
      <c r="AK51" s="81">
        <f t="shared" si="34"/>
        <v>0</v>
      </c>
      <c r="AL51" s="81">
        <f t="shared" si="34"/>
        <v>0</v>
      </c>
      <c r="AM51" s="81">
        <f t="shared" si="34"/>
        <v>0</v>
      </c>
      <c r="AN51" s="81">
        <f t="shared" si="3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</row>
    <row r="52" spans="1:64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ref="AD52:AO52" si="35">IF(AD31&gt;0, IF(TYPE($G$35)=1, $G$35 * ((AD31^(-1/($G$35*($H52-AD$38))))-1), -(LN(AD31)/($H52-AD$38))), 0)</f>
        <v>0</v>
      </c>
      <c r="AE52" s="81">
        <f t="shared" si="35"/>
        <v>0</v>
      </c>
      <c r="AF52" s="81">
        <f t="shared" si="35"/>
        <v>0</v>
      </c>
      <c r="AG52" s="81">
        <f t="shared" si="35"/>
        <v>0</v>
      </c>
      <c r="AH52" s="81">
        <f t="shared" si="35"/>
        <v>0</v>
      </c>
      <c r="AI52" s="81">
        <f t="shared" si="35"/>
        <v>0</v>
      </c>
      <c r="AJ52" s="81">
        <f t="shared" si="35"/>
        <v>0</v>
      </c>
      <c r="AK52" s="81">
        <f t="shared" si="35"/>
        <v>0</v>
      </c>
      <c r="AL52" s="81">
        <f t="shared" si="35"/>
        <v>0</v>
      </c>
      <c r="AM52" s="81">
        <f t="shared" si="35"/>
        <v>0</v>
      </c>
      <c r="AN52" s="81">
        <f t="shared" si="35"/>
        <v>0</v>
      </c>
      <c r="AO52" s="81">
        <f t="shared" si="35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</row>
    <row r="53" spans="1:64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ref="AD53:AP53" si="36">IF(AD32&gt;0, IF(TYPE($G$35)=1, $G$35 * ((AD32^(-1/($G$35*($H53-AD$38))))-1), -(LN(AD32)/($H53-AD$38))), 0)</f>
        <v>0</v>
      </c>
      <c r="AE53" s="81">
        <f t="shared" si="36"/>
        <v>0</v>
      </c>
      <c r="AF53" s="81">
        <f t="shared" si="36"/>
        <v>0</v>
      </c>
      <c r="AG53" s="81">
        <f t="shared" si="36"/>
        <v>0</v>
      </c>
      <c r="AH53" s="81">
        <f t="shared" si="36"/>
        <v>0</v>
      </c>
      <c r="AI53" s="81">
        <f t="shared" si="36"/>
        <v>0</v>
      </c>
      <c r="AJ53" s="81">
        <f t="shared" si="36"/>
        <v>0</v>
      </c>
      <c r="AK53" s="81">
        <f t="shared" si="36"/>
        <v>0</v>
      </c>
      <c r="AL53" s="81">
        <f t="shared" si="36"/>
        <v>0</v>
      </c>
      <c r="AM53" s="81">
        <f t="shared" si="36"/>
        <v>0</v>
      </c>
      <c r="AN53" s="81">
        <f t="shared" si="36"/>
        <v>0</v>
      </c>
      <c r="AO53" s="81">
        <f t="shared" si="36"/>
        <v>0</v>
      </c>
      <c r="AP53" s="81">
        <f t="shared" si="36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</row>
    <row r="54" spans="1:64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ref="AD54:AQ54" si="37">IF(AD33&gt;0, IF(TYPE($G$35)=1, $G$35 * ((AD33^(-1/($G$35*($H54-AD$38))))-1), -(LN(AD33)/($H54-AD$38))), 0)</f>
        <v>0</v>
      </c>
      <c r="AE54" s="82">
        <f t="shared" si="37"/>
        <v>0</v>
      </c>
      <c r="AF54" s="82">
        <f t="shared" si="37"/>
        <v>0</v>
      </c>
      <c r="AG54" s="82">
        <f t="shared" si="37"/>
        <v>0</v>
      </c>
      <c r="AH54" s="82">
        <f t="shared" si="37"/>
        <v>0</v>
      </c>
      <c r="AI54" s="82">
        <f t="shared" si="37"/>
        <v>0</v>
      </c>
      <c r="AJ54" s="82">
        <f t="shared" si="37"/>
        <v>0</v>
      </c>
      <c r="AK54" s="82">
        <f t="shared" si="37"/>
        <v>0</v>
      </c>
      <c r="AL54" s="82">
        <f t="shared" si="37"/>
        <v>0</v>
      </c>
      <c r="AM54" s="82">
        <f t="shared" si="37"/>
        <v>0</v>
      </c>
      <c r="AN54" s="82">
        <f t="shared" si="37"/>
        <v>0</v>
      </c>
      <c r="AO54" s="82">
        <f t="shared" si="37"/>
        <v>0</v>
      </c>
      <c r="AP54" s="82">
        <f t="shared" si="37"/>
        <v>0</v>
      </c>
      <c r="AQ54" s="82">
        <f t="shared" si="37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</row>
    <row r="55" spans="1:6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</row>
    <row r="56" spans="1:6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</row>
    <row r="57" spans="1:64" ht="24" x14ac:dyDescent="0.4">
      <c r="A57" s="1"/>
      <c r="B57" s="1"/>
      <c r="C57" s="1"/>
      <c r="D57" s="1"/>
      <c r="E57" s="1"/>
      <c r="F57" s="152" t="s">
        <v>194</v>
      </c>
      <c r="G57" s="1"/>
      <c r="H57" s="1"/>
      <c r="I57" s="1"/>
      <c r="J57" s="1"/>
      <c r="K57" s="1"/>
      <c r="L57" s="69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</row>
    <row r="58" spans="1:64" ht="15.75" thickBo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</row>
    <row r="59" spans="1:64" x14ac:dyDescent="0.25">
      <c r="A59" s="1"/>
      <c r="B59" s="1"/>
      <c r="C59" s="1"/>
      <c r="D59" s="1"/>
      <c r="E59" s="1"/>
      <c r="F59" s="8" t="s">
        <v>5</v>
      </c>
      <c r="G59" s="9"/>
      <c r="H59" s="51">
        <f>D7</f>
        <v>100000000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</row>
    <row r="60" spans="1:64" x14ac:dyDescent="0.25">
      <c r="A60" s="1"/>
      <c r="B60" s="1"/>
      <c r="C60" s="1"/>
      <c r="D60" s="1"/>
      <c r="E60" s="1"/>
      <c r="F60" s="11" t="s">
        <v>20</v>
      </c>
      <c r="G60" s="153"/>
      <c r="H60" s="54">
        <f>D9</f>
        <v>0.5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</row>
    <row r="61" spans="1:64" x14ac:dyDescent="0.25">
      <c r="A61" s="1"/>
      <c r="B61" s="1"/>
      <c r="C61" s="1"/>
      <c r="D61" s="1"/>
      <c r="E61" s="1"/>
      <c r="F61" s="11" t="s">
        <v>195</v>
      </c>
      <c r="G61" s="153"/>
      <c r="H61" s="54">
        <f>INDEX(H13:W13, 1, MATCH(D14, H8:W8, 0))</f>
        <v>0.95709999999999995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</row>
    <row r="62" spans="1:64" x14ac:dyDescent="0.25">
      <c r="A62" s="1"/>
      <c r="B62" s="1"/>
      <c r="C62" s="1"/>
      <c r="D62" s="1"/>
      <c r="E62" s="1"/>
      <c r="F62" s="11" t="s">
        <v>96</v>
      </c>
      <c r="G62" s="153"/>
      <c r="H62" s="54">
        <f>INDEX(I39:X54, MATCH(D14, H39:H54, 0), MATCH(D13, I38:X38, 0))</f>
        <v>4.513634938877864E-2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</row>
    <row r="63" spans="1:64" x14ac:dyDescent="0.25">
      <c r="A63" s="1"/>
      <c r="B63" s="1"/>
      <c r="C63" s="1"/>
      <c r="D63" s="1"/>
      <c r="E63" s="1"/>
      <c r="F63" s="11" t="s">
        <v>102</v>
      </c>
      <c r="G63" s="153"/>
      <c r="H63" s="54">
        <f>INDEX(AC39:AR54, MATCH(D14,AB39:AB54,0), MATCH(D13,AC38:AR38,0))</f>
        <v>4.513634938877864E-2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</row>
    <row r="64" spans="1:64" ht="15.75" thickBot="1" x14ac:dyDescent="0.3">
      <c r="A64" s="1"/>
      <c r="B64" s="1"/>
      <c r="C64" s="1"/>
      <c r="D64" s="1"/>
      <c r="E64" s="1"/>
      <c r="F64" s="13" t="s">
        <v>196</v>
      </c>
      <c r="G64" s="14"/>
      <c r="H64" s="25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</row>
    <row r="65" spans="1:64" ht="15.75" thickBo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</row>
    <row r="66" spans="1:64" ht="15.75" thickBot="1" x14ac:dyDescent="0.3">
      <c r="A66" s="1"/>
      <c r="B66" s="1"/>
      <c r="C66" s="1"/>
      <c r="D66" s="1"/>
      <c r="E66" s="1"/>
      <c r="F66" s="43" t="s">
        <v>197</v>
      </c>
      <c r="G66" s="44"/>
      <c r="H66" s="127" t="b">
        <v>0</v>
      </c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</row>
    <row r="67" spans="1:64" ht="15.75" thickBo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</row>
    <row r="68" spans="1:64" ht="15.75" thickBot="1" x14ac:dyDescent="0.3">
      <c r="A68" s="1"/>
      <c r="B68" s="1"/>
      <c r="C68" s="1"/>
      <c r="D68" s="1"/>
      <c r="E68" s="1"/>
      <c r="F68" s="43" t="s">
        <v>198</v>
      </c>
      <c r="G68" s="44"/>
      <c r="H68" s="64">
        <f>IF(H66=FALSE, H59*H60*H61*(H63-H62), H59*H60*H61*(H64-H62))</f>
        <v>0</v>
      </c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</row>
    <row r="69" spans="1:6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</row>
    <row r="70" spans="1:6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</row>
    <row r="71" spans="1:6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</row>
    <row r="72" spans="1:6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</row>
    <row r="73" spans="1:6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</row>
    <row r="74" spans="1:6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</row>
    <row r="75" spans="1:6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</row>
    <row r="76" spans="1:6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</row>
    <row r="77" spans="1:6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</row>
    <row r="78" spans="1:6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</row>
    <row r="79" spans="1:6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</row>
    <row r="80" spans="1:6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</row>
    <row r="81" spans="1:6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</row>
    <row r="82" spans="1:6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</row>
    <row r="83" spans="1:6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</row>
    <row r="84" spans="1:6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</row>
    <row r="85" spans="1:6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</row>
    <row r="86" spans="1:6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</row>
    <row r="87" spans="1:6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</row>
    <row r="88" spans="1:6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</row>
    <row r="89" spans="1:6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</row>
    <row r="90" spans="1:6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</row>
    <row r="91" spans="1:6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</row>
    <row r="92" spans="1:6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</row>
    <row r="93" spans="1:6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</row>
    <row r="94" spans="1:6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</row>
    <row r="95" spans="1:6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</row>
    <row r="96" spans="1:6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</row>
    <row r="97" spans="1:6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</row>
    <row r="98" spans="1:6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</row>
    <row r="99" spans="1:6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</row>
    <row r="100" spans="1:6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</row>
    <row r="101" spans="1:6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</row>
    <row r="102" spans="1:6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</row>
    <row r="103" spans="1:6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</row>
    <row r="104" spans="1:6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</row>
    <row r="105" spans="1:6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</row>
    <row r="106" spans="1:6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</row>
    <row r="107" spans="1:6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</row>
    <row r="108" spans="1:6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</row>
    <row r="109" spans="1:6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</row>
    <row r="110" spans="1:6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</sheetData>
  <dataConsolidate/>
  <mergeCells count="3">
    <mergeCell ref="B2:F2"/>
    <mergeCell ref="B4:G4"/>
    <mergeCell ref="H12:J12"/>
  </mergeCells>
  <conditionalFormatting sqref="H54 X54 AB54 AR54">
    <cfRule type="expression" dxfId="18" priority="16">
      <formula>AND(#REF!=$D$14+$D$9, I$17=$D$13+$D$9)</formula>
    </cfRule>
  </conditionalFormatting>
  <conditionalFormatting sqref="H9:W9">
    <cfRule type="expression" dxfId="17" priority="13">
      <formula>H7&lt;=$D$10</formula>
    </cfRule>
    <cfRule type="expression" dxfId="16" priority="14">
      <formula>H7&gt;$D$10</formula>
    </cfRule>
  </conditionalFormatting>
  <conditionalFormatting sqref="H13:W13">
    <cfRule type="expression" dxfId="15" priority="7">
      <formula>H7&gt;$D$10</formula>
    </cfRule>
    <cfRule type="expression" dxfId="14" priority="8">
      <formula>H7&gt;$D$10</formula>
    </cfRule>
  </conditionalFormatting>
  <conditionalFormatting sqref="H17:X33 AB17:AR33 H38:X40 AB38:AR40 H41:H53 J41:X53 AB41:AB53 AD41:AR53 I41:I54 AC41:AC54 J54:W54 AD54:AQ54">
    <cfRule type="expression" dxfId="13" priority="5">
      <formula>AND($H18=$D$14+$D$9, I$17=$D$13+$D$9)</formula>
    </cfRule>
  </conditionalFormatting>
  <dataValidations count="3">
    <dataValidation type="list" allowBlank="1" showInputMessage="1" showErrorMessage="1" sqref="D8" xr:uid="{57D9E43E-CAFA-4567-829C-DB82094D361F}">
      <formula1>"1,2,4,Continuous"</formula1>
    </dataValidation>
    <dataValidation type="list" allowBlank="1" showInputMessage="1" showErrorMessage="1" sqref="G35" xr:uid="{673D0594-5A3D-45A1-B09C-2B3B074BA315}">
      <formula1>"1,2,4,Cont"</formula1>
    </dataValidation>
    <dataValidation type="list" allowBlank="1" showInputMessage="1" showErrorMessage="1" sqref="H66" xr:uid="{18027F91-1B2B-4435-BE01-ADA1BF17E9E2}">
      <formula1>"TRUE, FALSE"</formula1>
    </dataValidation>
  </dataValidations>
  <hyperlinks>
    <hyperlink ref="H12" location="'Rate and discount'!B27" display="'Rate and discount'!B27" xr:uid="{1C07979D-7CAF-4D4D-B8CB-2613EEFEC66A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25C71-7651-4F22-A366-DE6BA7564E1A}">
  <sheetPr codeName="Sheet6"/>
  <dimension ref="A1:AP72"/>
  <sheetViews>
    <sheetView workbookViewId="0">
      <selection activeCell="B34" sqref="B34"/>
    </sheetView>
  </sheetViews>
  <sheetFormatPr defaultRowHeight="15" x14ac:dyDescent="0.25"/>
  <cols>
    <col min="2" max="2" width="19.5703125" bestFit="1" customWidth="1"/>
    <col min="6" max="6" width="12.1406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20.25" thickBot="1" x14ac:dyDescent="0.35">
      <c r="A2" s="1"/>
      <c r="B2" s="150" t="s">
        <v>141</v>
      </c>
      <c r="C2" s="150"/>
      <c r="D2" s="150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ht="18" thickBot="1" x14ac:dyDescent="0.35">
      <c r="A4" s="1"/>
      <c r="B4" s="144" t="s">
        <v>105</v>
      </c>
      <c r="C4" s="144"/>
      <c r="D4" s="144"/>
      <c r="E4" s="144"/>
      <c r="F4" s="144"/>
      <c r="G4" s="144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x14ac:dyDescent="0.25">
      <c r="A7" s="1"/>
      <c r="B7" s="8" t="s">
        <v>19</v>
      </c>
      <c r="C7" s="9" t="s">
        <v>5</v>
      </c>
      <c r="D7" s="21">
        <f>1000000</f>
        <v>1000000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56">
        <v>1</v>
      </c>
      <c r="H9" s="42">
        <v>0.97870000000000001</v>
      </c>
      <c r="I9" s="42">
        <v>0.95709999999999995</v>
      </c>
      <c r="J9" s="42">
        <v>0.93610000000000004</v>
      </c>
      <c r="K9" s="42">
        <v>0.92889999999999995</v>
      </c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25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ht="15.75" thickBot="1" x14ac:dyDescent="0.3">
      <c r="A10" s="1"/>
      <c r="B10" s="13" t="s">
        <v>61</v>
      </c>
      <c r="C10" s="14"/>
      <c r="D10" s="25">
        <v>4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ht="15.75" thickBot="1" x14ac:dyDescent="0.3">
      <c r="A11" s="1"/>
      <c r="B11" s="1"/>
      <c r="C11" s="1"/>
      <c r="D11" s="1"/>
      <c r="E11" s="1"/>
      <c r="F11" s="59" t="s">
        <v>199</v>
      </c>
      <c r="G11" s="154" cm="1">
        <f t="array" ref="G11">IF(H9&gt;0, $D$8*((G9-LOOKUP(2, $G$9/($H$9:$W$9&lt;&gt;0), $H$9:$W$9))/(SUM(H$9:W$9))), 0)</f>
        <v>3.7413176173437195E-2</v>
      </c>
      <c r="H11" s="154" cm="1">
        <f t="array" ref="H11">IF(I9&gt;0, $D$8*((H9-LOOKUP(2, $G$9/($H$9:$W$9&lt;&gt;0), $H$9:$W$9))/(SUM(I$9:X$9))), 0)</f>
        <v>3.5292867013925852E-2</v>
      </c>
      <c r="I11" s="154" cm="1">
        <f t="array" ref="I11">IF(J9&gt;0, $D$8*((I9-LOOKUP(2, $G$9/($H$9:$W$9&lt;&gt;0), $H$9:$W$9))/(SUM(J$9:Y$9))), 0)</f>
        <v>3.024128686327078E-2</v>
      </c>
      <c r="J11" s="154" cm="1">
        <f t="array" ref="J11">IF(K9&gt;0, $D$8*((J9-LOOKUP(2, $G$9/($H$9:$W$9&lt;&gt;0), $H$9:$W$9))/(SUM(K$9:Z$9))), 0)</f>
        <v>1.5502206911400787E-2</v>
      </c>
      <c r="K11" s="154" cm="1">
        <f t="array" ref="K11">IF(L9&gt;0, $D$8*((K9-LOOKUP(2, $G$9/($H$9:$W$9&lt;&gt;0), $H$9:$W$9))/(SUM(L$9:AA$9))), 0)</f>
        <v>0</v>
      </c>
      <c r="L11" s="154" cm="1">
        <f t="array" ref="L11">IF(M9&gt;0, $D$8*((L9-LOOKUP(2, $G$9/($H$9:$W$9&lt;&gt;0), $H$9:$W$9))/(SUM(M$9:AB$9))), 0)</f>
        <v>0</v>
      </c>
      <c r="M11" s="154" cm="1">
        <f t="array" ref="M11">IF(N9&gt;0, $D$8*((M9-LOOKUP(2, $G$9/($H$9:$W$9&lt;&gt;0), $H$9:$W$9))/(SUM(N$9:AC$9))), 0)</f>
        <v>0</v>
      </c>
      <c r="N11" s="154" cm="1">
        <f t="array" ref="N11">IF(O9&gt;0, $D$8*((N9-LOOKUP(2, $G$9/($H$9:$W$9&lt;&gt;0), $H$9:$W$9))/(SUM(O$9:AD$9))), 0)</f>
        <v>0</v>
      </c>
      <c r="O11" s="154" cm="1">
        <f t="array" ref="O11">IF(P9&gt;0, $D$8*((O9-LOOKUP(2, $G$9/($H$9:$W$9&lt;&gt;0), $H$9:$W$9))/(SUM(P$9:AE$9))), 0)</f>
        <v>0</v>
      </c>
      <c r="P11" s="154" cm="1">
        <f t="array" ref="P11">IF(Q9&gt;0, $D$8*((P9-LOOKUP(2, $G$9/($H$9:$W$9&lt;&gt;0), $H$9:$W$9))/(SUM(Q$9:AF$9))), 0)</f>
        <v>0</v>
      </c>
      <c r="Q11" s="154" cm="1">
        <f t="array" ref="Q11">IF(R9&gt;0, $D$8*((Q9-LOOKUP(2, $G$9/($H$9:$W$9&lt;&gt;0), $H$9:$W$9))/(SUM(R$9:AG$9))), 0)</f>
        <v>0</v>
      </c>
      <c r="R11" s="154" cm="1">
        <f t="array" ref="R11">IF(S9&gt;0, $D$8*((R9-LOOKUP(2, $G$9/($H$9:$W$9&lt;&gt;0), $H$9:$W$9))/(SUM(S$9:AH$9))), 0)</f>
        <v>0</v>
      </c>
      <c r="S11" s="154" cm="1">
        <f t="array" ref="S11">IF(T9&gt;0, $D$8*((S9-LOOKUP(2, $G$9/($H$9:$W$9&lt;&gt;0), $H$9:$W$9))/(SUM(T$9:AI$9))), 0)</f>
        <v>0</v>
      </c>
      <c r="T11" s="154" cm="1">
        <f t="array" ref="T11">IF(U9&gt;0, $D$8*((T9-LOOKUP(2, $G$9/($H$9:$W$9&lt;&gt;0), $H$9:$W$9))/(SUM(U$9:AJ$9))), 0)</f>
        <v>0</v>
      </c>
      <c r="U11" s="154" cm="1">
        <f t="array" ref="U11">IF(V9&gt;0, $D$8*((U9-LOOKUP(2, $G$9/($H$9:$W$9&lt;&gt;0), $H$9:$W$9))/(SUM(V$9:AK$9))), 0)</f>
        <v>0</v>
      </c>
      <c r="V11" s="154" cm="1">
        <f t="array" ref="V11">IF(W9&gt;0, $D$8*((V9-LOOKUP(2, $G$9/($H$9:$W$9&lt;&gt;0), $H$9:$W$9))/(SUM(W$9:AL$9))), 0)</f>
        <v>0</v>
      </c>
      <c r="W11" s="155" cm="1">
        <f t="array" ref="W11">IF(X9&gt;0, $D$8*((W9-LOOKUP(2, $G$9/($H$9:$W$9&lt;&gt;0), $H$9:$W$9))/(SUM(X$9:AM$9))), 0)</f>
        <v>0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42" ht="18" thickBot="1" x14ac:dyDescent="0.35">
      <c r="A16" s="1"/>
      <c r="B16" s="144" t="s">
        <v>106</v>
      </c>
      <c r="C16" s="144"/>
      <c r="D16" s="144"/>
      <c r="E16" s="144"/>
      <c r="F16" s="144"/>
      <c r="G16" s="14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</row>
    <row r="17" spans="1:42" ht="15.75" thickTop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</row>
    <row r="18" spans="1:42" ht="15.75" thickBot="1" x14ac:dyDescent="0.3">
      <c r="A18" s="1"/>
      <c r="B18" s="1" t="s">
        <v>3</v>
      </c>
      <c r="C18" s="1"/>
      <c r="D18" s="1"/>
      <c r="E18" s="1"/>
      <c r="F18" s="1" t="s">
        <v>15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25">
      <c r="A19" s="1"/>
      <c r="B19" s="8" t="s">
        <v>19</v>
      </c>
      <c r="C19" s="9" t="s">
        <v>5</v>
      </c>
      <c r="D19" s="21">
        <f>1000000</f>
        <v>1000000</v>
      </c>
      <c r="E19" s="1"/>
      <c r="F19" s="8" t="s">
        <v>21</v>
      </c>
      <c r="G19" s="9">
        <v>0</v>
      </c>
      <c r="H19" s="9">
        <v>1</v>
      </c>
      <c r="I19" s="9">
        <v>2</v>
      </c>
      <c r="J19" s="9">
        <v>3</v>
      </c>
      <c r="K19" s="9">
        <v>4</v>
      </c>
      <c r="L19" s="9">
        <v>5</v>
      </c>
      <c r="M19" s="9">
        <v>6</v>
      </c>
      <c r="N19" s="9">
        <v>7</v>
      </c>
      <c r="O19" s="9">
        <v>8</v>
      </c>
      <c r="P19" s="9">
        <v>9</v>
      </c>
      <c r="Q19" s="9">
        <v>10</v>
      </c>
      <c r="R19" s="9">
        <v>11</v>
      </c>
      <c r="S19" s="9">
        <v>12</v>
      </c>
      <c r="T19" s="9">
        <v>13</v>
      </c>
      <c r="U19" s="9">
        <v>14</v>
      </c>
      <c r="V19" s="9">
        <v>15</v>
      </c>
      <c r="W19" s="10">
        <v>16</v>
      </c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25">
      <c r="A20" s="1"/>
      <c r="B20" s="11" t="s">
        <v>8</v>
      </c>
      <c r="C20" s="1" t="s">
        <v>9</v>
      </c>
      <c r="D20" s="23">
        <v>2</v>
      </c>
      <c r="E20" s="1"/>
      <c r="F20" s="11" t="s">
        <v>22</v>
      </c>
      <c r="G20" s="1"/>
      <c r="H20" s="1" cm="1">
        <f t="array" ref="H20">IF(TYPE($D$9)=1, $D$9*H19, Cont)</f>
        <v>0.5</v>
      </c>
      <c r="I20" s="1" cm="1">
        <f t="array" ref="I20">IF(TYPE($D$9)=1, $D$9*I19, Cont)</f>
        <v>1</v>
      </c>
      <c r="J20" s="1" cm="1">
        <f t="array" ref="J20">IF(TYPE($D$9)=1, $D$9*J19, Cont)</f>
        <v>1.5</v>
      </c>
      <c r="K20" s="1" cm="1">
        <f t="array" ref="K20">IF(TYPE($D$9)=1, $D$9*K19, Cont)</f>
        <v>2</v>
      </c>
      <c r="L20" s="1" cm="1">
        <f t="array" ref="L20">IF(TYPE($D$9)=1, $D$9*L19, Cont)</f>
        <v>2.5</v>
      </c>
      <c r="M20" s="1" cm="1">
        <f t="array" ref="M20">IF(TYPE($D$9)=1, $D$9*M19, Cont)</f>
        <v>3</v>
      </c>
      <c r="N20" s="1" cm="1">
        <f t="array" ref="N20">IF(TYPE($D$9)=1, $D$9*N19, Cont)</f>
        <v>3.5</v>
      </c>
      <c r="O20" s="1" cm="1">
        <f t="array" ref="O20">IF(TYPE($D$9)=1, $D$9*O19, Cont)</f>
        <v>4</v>
      </c>
      <c r="P20" s="1" cm="1">
        <f t="array" ref="P20">IF(TYPE($D$9)=1, $D$9*P19, Cont)</f>
        <v>4.5</v>
      </c>
      <c r="Q20" s="1" cm="1">
        <f t="array" ref="Q20">IF(TYPE($D$9)=1, $D$9*Q19, Cont)</f>
        <v>5</v>
      </c>
      <c r="R20" s="1" cm="1">
        <f t="array" ref="R20">IF(TYPE($D$9)=1, $D$9*R19, Cont)</f>
        <v>5.5</v>
      </c>
      <c r="S20" s="1" cm="1">
        <f t="array" ref="S20">IF(TYPE($D$9)=1, $D$9*S19, Cont)</f>
        <v>6</v>
      </c>
      <c r="T20" s="1" cm="1">
        <f t="array" ref="T20">IF(TYPE($D$9)=1, $D$9*T19, Cont)</f>
        <v>6.5</v>
      </c>
      <c r="U20" s="1" cm="1">
        <f t="array" ref="U20">IF(TYPE($D$9)=1, $D$9*U19, Cont)</f>
        <v>7</v>
      </c>
      <c r="V20" s="1" cm="1">
        <f t="array" ref="V20">IF(TYPE($D$9)=1, $D$9*V19, Cont)</f>
        <v>7.5</v>
      </c>
      <c r="W20" s="12" cm="1">
        <f t="array" ref="W20">IF(TYPE($D$9)=1, $D$9*W19, Cont)</f>
        <v>8</v>
      </c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ht="15.75" thickBot="1" x14ac:dyDescent="0.3">
      <c r="A21" s="1"/>
      <c r="B21" s="11" t="s">
        <v>20</v>
      </c>
      <c r="C21" s="15" t="s">
        <v>11</v>
      </c>
      <c r="D21" s="6">
        <f>1/D20</f>
        <v>0.5</v>
      </c>
      <c r="E21" s="1"/>
      <c r="F21" s="13" t="s">
        <v>107</v>
      </c>
      <c r="G21" s="14"/>
      <c r="H21" s="130">
        <v>0</v>
      </c>
      <c r="I21" s="93">
        <v>3.95E-2</v>
      </c>
      <c r="J21" s="93">
        <v>4.1200000000000001E-2</v>
      </c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4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</row>
    <row r="22" spans="1:42" x14ac:dyDescent="0.25">
      <c r="A22" s="1"/>
      <c r="B22" s="11" t="s">
        <v>192</v>
      </c>
      <c r="C22" s="1"/>
      <c r="D22" s="129">
        <v>3.8899999999999997E-2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</row>
    <row r="23" spans="1:42" ht="15.75" thickBot="1" x14ac:dyDescent="0.3">
      <c r="A23" s="1"/>
      <c r="B23" s="13" t="s">
        <v>142</v>
      </c>
      <c r="C23" s="14"/>
      <c r="D23" s="25">
        <v>3</v>
      </c>
      <c r="E23" s="1"/>
      <c r="F23" s="1" t="s">
        <v>143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ht="15.75" thickBot="1" x14ac:dyDescent="0.3">
      <c r="A25" s="1"/>
      <c r="B25" s="1"/>
      <c r="C25" s="1"/>
      <c r="D25" s="1"/>
      <c r="E25" s="1"/>
      <c r="F25" s="43" t="s">
        <v>144</v>
      </c>
      <c r="G25" s="131">
        <v>0.98092108489871987</v>
      </c>
      <c r="H25" s="1"/>
      <c r="I25" s="1"/>
      <c r="J25" s="8" t="s">
        <v>145</v>
      </c>
      <c r="K25" s="90">
        <v>0.98092108489871987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1" t="s">
        <v>146</v>
      </c>
      <c r="K26" s="91">
        <v>0.96163452667148841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1" t="s">
        <v>147</v>
      </c>
      <c r="K27" s="91">
        <v>0.94060685322521431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1"/>
      <c r="K28" s="9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1"/>
      <c r="K29" s="9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1"/>
      <c r="K30" s="9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1"/>
      <c r="K31" s="9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</row>
    <row r="32" spans="1:42" ht="15.75" thickBot="1" x14ac:dyDescent="0.3">
      <c r="A32" s="1"/>
      <c r="B32" s="1"/>
      <c r="C32" s="1"/>
      <c r="D32" s="1"/>
      <c r="E32" s="1"/>
      <c r="F32" s="1"/>
      <c r="G32" s="1"/>
      <c r="H32" s="1"/>
      <c r="I32" s="1"/>
      <c r="J32" s="13"/>
      <c r="K32" s="9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</row>
    <row r="47" spans="1:4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</row>
    <row r="48" spans="1:4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</row>
    <row r="49" spans="1:4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</row>
    <row r="50" spans="1:4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</row>
    <row r="51" spans="1:4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</sheetData>
  <mergeCells count="3">
    <mergeCell ref="B2:D2"/>
    <mergeCell ref="B4:G4"/>
    <mergeCell ref="B16:G16"/>
  </mergeCells>
  <conditionalFormatting sqref="H9:W9">
    <cfRule type="expression" dxfId="12" priority="1">
      <formula>H7&gt;$D$10</formula>
    </cfRule>
  </conditionalFormatting>
  <dataValidations disablePrompts="1" count="1">
    <dataValidation type="list" allowBlank="1" showInputMessage="1" showErrorMessage="1" sqref="D8 D20" xr:uid="{112A16B4-7C58-457E-ADDA-041887944BF0}">
      <formula1>"1,2,4,Continuous"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895C7-A9BF-44FA-842E-0C0A09FB5205}">
  <sheetPr codeName="Sheet8"/>
  <dimension ref="A1:BA472"/>
  <sheetViews>
    <sheetView tabSelected="1" topLeftCell="A36" zoomScaleNormal="100" workbookViewId="0">
      <selection activeCell="D53" sqref="D53"/>
    </sheetView>
  </sheetViews>
  <sheetFormatPr defaultRowHeight="15" x14ac:dyDescent="0.25"/>
  <cols>
    <col min="2" max="2" width="19.5703125" bestFit="1" customWidth="1"/>
    <col min="6" max="6" width="16.42578125" customWidth="1"/>
  </cols>
  <sheetData>
    <row r="1" spans="1:5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ht="20.25" thickBot="1" x14ac:dyDescent="0.35">
      <c r="A2" s="1"/>
      <c r="B2" s="150" t="s">
        <v>155</v>
      </c>
      <c r="C2" s="150"/>
      <c r="D2" s="150"/>
      <c r="E2" s="150"/>
      <c r="F2" s="150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ht="18" thickBot="1" x14ac:dyDescent="0.35">
      <c r="A4" s="1"/>
      <c r="B4" s="144" t="s">
        <v>173</v>
      </c>
      <c r="C4" s="144"/>
      <c r="D4" s="144"/>
      <c r="E4" s="144"/>
      <c r="F4" s="144"/>
      <c r="G4" s="144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B7" s="8" t="s">
        <v>19</v>
      </c>
      <c r="C7" s="9" t="s">
        <v>5</v>
      </c>
      <c r="D7" s="21">
        <v>10000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72">
        <v>1</v>
      </c>
      <c r="H9" s="70">
        <v>0.98509999999999998</v>
      </c>
      <c r="I9" s="70">
        <v>0.96950000000000003</v>
      </c>
      <c r="J9" s="70">
        <v>0.95740000000000003</v>
      </c>
      <c r="K9" s="70">
        <v>0.94550000000000001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B10" s="11" t="s">
        <v>156</v>
      </c>
      <c r="C10" s="1"/>
      <c r="D10" s="129">
        <v>9.1055114123566233E-2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1" t="s">
        <v>157</v>
      </c>
      <c r="C11" s="1" t="s">
        <v>161</v>
      </c>
      <c r="D11" s="129">
        <v>3.9E-2</v>
      </c>
      <c r="E11" s="1"/>
      <c r="F11" s="1" t="s">
        <v>99</v>
      </c>
      <c r="G11" s="1"/>
      <c r="H11" s="18">
        <v>37</v>
      </c>
      <c r="I11" s="1" t="s">
        <v>14</v>
      </c>
      <c r="J11" s="27" t="s">
        <v>158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ht="15.75" thickBot="1" x14ac:dyDescent="0.3">
      <c r="A12" s="1"/>
      <c r="B12" s="11" t="s">
        <v>61</v>
      </c>
      <c r="C12" s="1"/>
      <c r="D12" s="24">
        <v>4</v>
      </c>
      <c r="E12" s="1"/>
      <c r="F12" s="1" t="s">
        <v>104</v>
      </c>
      <c r="G12" s="1"/>
      <c r="H12" s="151" t="s">
        <v>100</v>
      </c>
      <c r="I12" s="151"/>
      <c r="J12" s="15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ht="15.75" thickBot="1" x14ac:dyDescent="0.3">
      <c r="A13" s="1"/>
      <c r="B13" s="13" t="s">
        <v>190</v>
      </c>
      <c r="C13" s="14"/>
      <c r="D13" s="25">
        <v>2</v>
      </c>
      <c r="E13" s="1"/>
      <c r="F13" s="43" t="s">
        <v>64</v>
      </c>
      <c r="G13" s="121">
        <v>1</v>
      </c>
      <c r="H13" s="121">
        <f>IF(H9&gt;0, ($H$11/360/$D$9)*G9+(($D$9-($H$11/360))/$D$9)*H9, 0)</f>
        <v>0.98816277777777772</v>
      </c>
      <c r="I13" s="121">
        <f t="shared" ref="I13:W13" si="0">IF(I9&gt;0, ($H$11/360/$D$9)*H9+(($D$9-($H$11/360))/$D$9)*I9, 0)</f>
        <v>0.97270666666666672</v>
      </c>
      <c r="J13" s="121">
        <f t="shared" si="0"/>
        <v>0.95988722222222234</v>
      </c>
      <c r="K13" s="121">
        <f t="shared" si="0"/>
        <v>0.94794611111111116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8" t="s">
        <v>103</v>
      </c>
      <c r="C16" s="9"/>
      <c r="D16" s="138" t="s">
        <v>191</v>
      </c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0.98509999999999998</v>
      </c>
      <c r="J16" s="78">
        <v>0.96950000000000003</v>
      </c>
      <c r="K16" s="78">
        <v>0.95740000000000003</v>
      </c>
      <c r="L16" s="78">
        <v>0.94550000000000001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0.98816277777777772</v>
      </c>
      <c r="AD16" s="78">
        <f t="shared" ref="AD16:AR16" si="1">I13</f>
        <v>0.97270666666666672</v>
      </c>
      <c r="AE16" s="78">
        <f t="shared" si="1"/>
        <v>0.95988722222222234</v>
      </c>
      <c r="AF16" s="78">
        <f t="shared" si="1"/>
        <v>0.94794611111111116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1" t="s">
        <v>188</v>
      </c>
      <c r="C17" s="1"/>
      <c r="D17" s="24">
        <v>1</v>
      </c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</row>
    <row r="18" spans="1:53" ht="15.75" thickBot="1" x14ac:dyDescent="0.3">
      <c r="A18" s="1"/>
      <c r="B18" s="13" t="s">
        <v>189</v>
      </c>
      <c r="C18" s="14"/>
      <c r="D18" s="132">
        <f>D17+D9*(D13-1)</f>
        <v>1.5</v>
      </c>
      <c r="E18" s="1"/>
      <c r="F18" s="11"/>
      <c r="G18" s="77">
        <f t="array" ref="G18:G33">TRANSPOSE(H9:W9)</f>
        <v>0.98509999999999998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0.98816277777777772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1"/>
      <c r="D19" s="1"/>
      <c r="E19" s="1"/>
      <c r="F19" s="5"/>
      <c r="G19" s="77">
        <v>0.96950000000000003</v>
      </c>
      <c r="H19" s="53">
        <v>1</v>
      </c>
      <c r="I19" s="81">
        <f>IF(G19&gt;0, G19/$I$16, 0)</f>
        <v>0.98416404425946613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0.97270666666666672</v>
      </c>
      <c r="AB19" s="53">
        <v>1</v>
      </c>
      <c r="AC19" s="81">
        <f>IF($AA19&gt;0, $AA19/AC$16, 0)</f>
        <v>0.98435873981625843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1"/>
      <c r="D20" s="1"/>
      <c r="E20" s="1"/>
      <c r="F20" s="11"/>
      <c r="G20" s="77">
        <v>0.95740000000000003</v>
      </c>
      <c r="H20" s="53">
        <v>1.5</v>
      </c>
      <c r="I20" s="81">
        <f t="shared" ref="I20:I33" si="4">IF(G20&gt;0, G20/$I$16, 0)</f>
        <v>0.97188102730687242</v>
      </c>
      <c r="J20" s="1">
        <f>IF(G20&gt;0, G20/$J$16, 0)</f>
        <v>0.98751933986591023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0.95988722222222234</v>
      </c>
      <c r="AB20" s="53">
        <v>1.5</v>
      </c>
      <c r="AC20" s="81">
        <f t="shared" ref="AC20:AQ33" si="5">IF($AA20&gt;0, $AA20/AC$16, 0)</f>
        <v>0.97138573098336833</v>
      </c>
      <c r="AD20" s="81">
        <f t="shared" si="5"/>
        <v>0.98682085269511421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1"/>
      <c r="D21" s="1"/>
      <c r="E21" s="1"/>
      <c r="F21" s="11"/>
      <c r="G21" s="77">
        <v>0.94550000000000001</v>
      </c>
      <c r="H21" s="53">
        <v>2</v>
      </c>
      <c r="I21" s="81">
        <f t="shared" si="4"/>
        <v>0.95980103542787543</v>
      </c>
      <c r="J21" s="1">
        <f t="shared" ref="J21:J33" si="6">IF(G21&gt;0, G21/$J$16, 0)</f>
        <v>0.97524497163486334</v>
      </c>
      <c r="K21" s="1">
        <f>IF(G21&gt;0, G21/$K$16, 0)</f>
        <v>0.98757050344683517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0.94794611111111116</v>
      </c>
      <c r="AB21" s="53">
        <v>2</v>
      </c>
      <c r="AC21" s="81">
        <f t="shared" si="5"/>
        <v>0.95930157705686148</v>
      </c>
      <c r="AD21" s="81">
        <f t="shared" si="5"/>
        <v>0.97454468402030525</v>
      </c>
      <c r="AE21" s="81">
        <f t="shared" si="5"/>
        <v>0.98755988116659532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</row>
    <row r="33" spans="1:53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0.98509999999999998</v>
      </c>
      <c r="J37" s="78">
        <f t="shared" ref="J37:X37" si="18">I9</f>
        <v>0.96950000000000003</v>
      </c>
      <c r="K37" s="78">
        <f t="shared" si="18"/>
        <v>0.95740000000000003</v>
      </c>
      <c r="L37" s="78">
        <f t="shared" si="18"/>
        <v>0.94550000000000001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0.98816277777777772</v>
      </c>
      <c r="AD37" s="78">
        <f t="shared" ref="AD37:AR37" si="19">I13</f>
        <v>0.97270666666666672</v>
      </c>
      <c r="AE37" s="78">
        <f t="shared" si="19"/>
        <v>0.95988722222222234</v>
      </c>
      <c r="AF37" s="78">
        <f t="shared" si="19"/>
        <v>0.94794611111111116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1"/>
      <c r="D39" s="1"/>
      <c r="E39" s="1"/>
      <c r="F39" s="11"/>
      <c r="G39" s="77">
        <f t="array" ref="G39:G54">TRANSPOSE(H9:W9)</f>
        <v>0.98509999999999998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0.98816277777777772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1"/>
      <c r="D40" s="1"/>
      <c r="E40" s="1"/>
      <c r="F40" s="5"/>
      <c r="G40" s="77">
        <v>0.96950000000000003</v>
      </c>
      <c r="H40" s="53">
        <v>1</v>
      </c>
      <c r="I40" s="81">
        <f>IF(I19&gt;0, IF(TYPE($G$35)=1, $G$35 * ((I19^(-1/($G$35*($H40-I$38))))-1), -(LN(I19)/($H40-I$38))), 0)</f>
        <v>3.2181536874677619E-2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0.97270666666666672</v>
      </c>
      <c r="AB40" s="53">
        <v>1</v>
      </c>
      <c r="AC40" s="81">
        <f>IF(AC19&gt;0, IF(TYPE($G$35)=1, $G$35 * ((AC19^(-1/($G$35*($AB40-AC$38))))-1), -(LN(AC19)/($AB40-AC$38))), 0)</f>
        <v>3.1779593254103844E-2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1"/>
      <c r="D41" s="1"/>
      <c r="E41" s="1"/>
      <c r="F41" s="11"/>
      <c r="G41" s="77">
        <v>0.95740000000000003</v>
      </c>
      <c r="H41" s="53">
        <v>1.5</v>
      </c>
      <c r="I41" s="81">
        <f t="shared" ref="I41:W54" si="22">IF(I20&gt;0, IF(TYPE($G$35)=1, $G$35 * ((I20^(-1/($G$35*($H41-I$38))))-1), -(LN(I20)/($H41-I$38))), 0)</f>
        <v>2.87262265669459E-2</v>
      </c>
      <c r="J41" s="81">
        <f t="shared" si="22"/>
        <v>2.5276791309797542E-2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0.95988722222222234</v>
      </c>
      <c r="AB41" s="53">
        <v>1.5</v>
      </c>
      <c r="AC41" s="81">
        <f t="shared" ref="AC41:AC54" si="23">IF(AC20&gt;0, IF(TYPE($G$35)=1, $G$35 * ((AC20^(-1/($G$35*($AB41-AC$38))))-1), -(LN(AC20)/($AB41-AC$38))), 0)</f>
        <v>2.9243370558221127E-2</v>
      </c>
      <c r="AD41" s="81">
        <f t="shared" ref="AD41:AQ54" si="24">IF(AD20&gt;0, IF(TYPE($G$35)=1, $G$35 * ((AD20^(-1/($G$35*($H41-AD$38))))-1), -(LN(AD20)/($H41-AD$38))), 0)</f>
        <v>2.6710313769499727E-2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1"/>
      <c r="D42" s="1"/>
      <c r="E42" s="1"/>
      <c r="F42" s="11"/>
      <c r="G42" s="77">
        <v>0.94550000000000001</v>
      </c>
      <c r="H42" s="53">
        <v>2</v>
      </c>
      <c r="I42" s="81">
        <f t="shared" si="22"/>
        <v>2.754074736125034E-2</v>
      </c>
      <c r="J42" s="81">
        <f t="shared" si="22"/>
        <v>2.5224328343984137E-2</v>
      </c>
      <c r="K42" s="81">
        <f t="shared" si="22"/>
        <v>2.5171866737176085E-2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0.94794611111111116</v>
      </c>
      <c r="AB42" s="53">
        <v>2</v>
      </c>
      <c r="AC42" s="81">
        <f t="shared" si="23"/>
        <v>2.7892564601805336E-2</v>
      </c>
      <c r="AD42" s="81">
        <f t="shared" si="24"/>
        <v>2.59518397907188E-2</v>
      </c>
      <c r="AE42" s="81">
        <f t="shared" si="24"/>
        <v>2.5193649662457407E-2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si="24"/>
        <v>0</v>
      </c>
      <c r="AE43" s="81">
        <f t="shared" si="24"/>
        <v>0</v>
      </c>
      <c r="AF43" s="81">
        <f t="shared" si="24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si="24"/>
        <v>0</v>
      </c>
      <c r="AE44" s="81">
        <f t="shared" si="24"/>
        <v>0</v>
      </c>
      <c r="AF44" s="81">
        <f t="shared" si="24"/>
        <v>0</v>
      </c>
      <c r="AG44" s="81">
        <f t="shared" si="24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si="24"/>
        <v>0</v>
      </c>
      <c r="AE45" s="81">
        <f t="shared" si="24"/>
        <v>0</v>
      </c>
      <c r="AF45" s="81">
        <f t="shared" si="24"/>
        <v>0</v>
      </c>
      <c r="AG45" s="81">
        <f t="shared" si="24"/>
        <v>0</v>
      </c>
      <c r="AH45" s="81">
        <f t="shared" si="24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si="24"/>
        <v>0</v>
      </c>
      <c r="AE46" s="81">
        <f t="shared" si="24"/>
        <v>0</v>
      </c>
      <c r="AF46" s="81">
        <f t="shared" si="24"/>
        <v>0</v>
      </c>
      <c r="AG46" s="81">
        <f t="shared" si="24"/>
        <v>0</v>
      </c>
      <c r="AH46" s="81">
        <f t="shared" si="24"/>
        <v>0</v>
      </c>
      <c r="AI46" s="81">
        <f t="shared" si="24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si="24"/>
        <v>0</v>
      </c>
      <c r="AE47" s="81">
        <f t="shared" si="24"/>
        <v>0</v>
      </c>
      <c r="AF47" s="81">
        <f t="shared" si="24"/>
        <v>0</v>
      </c>
      <c r="AG47" s="81">
        <f t="shared" si="24"/>
        <v>0</v>
      </c>
      <c r="AH47" s="81">
        <f t="shared" si="24"/>
        <v>0</v>
      </c>
      <c r="AI47" s="81">
        <f t="shared" si="24"/>
        <v>0</v>
      </c>
      <c r="AJ47" s="81">
        <f t="shared" si="24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si="24"/>
        <v>0</v>
      </c>
      <c r="AE48" s="81">
        <f t="shared" si="24"/>
        <v>0</v>
      </c>
      <c r="AF48" s="81">
        <f t="shared" si="24"/>
        <v>0</v>
      </c>
      <c r="AG48" s="81">
        <f t="shared" si="24"/>
        <v>0</v>
      </c>
      <c r="AH48" s="81">
        <f t="shared" si="24"/>
        <v>0</v>
      </c>
      <c r="AI48" s="81">
        <f t="shared" si="24"/>
        <v>0</v>
      </c>
      <c r="AJ48" s="81">
        <f t="shared" si="24"/>
        <v>0</v>
      </c>
      <c r="AK48" s="81">
        <f t="shared" si="24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si="24"/>
        <v>0</v>
      </c>
      <c r="AE49" s="81">
        <f t="shared" si="24"/>
        <v>0</v>
      </c>
      <c r="AF49" s="81">
        <f t="shared" si="24"/>
        <v>0</v>
      </c>
      <c r="AG49" s="81">
        <f t="shared" si="24"/>
        <v>0</v>
      </c>
      <c r="AH49" s="81">
        <f t="shared" si="24"/>
        <v>0</v>
      </c>
      <c r="AI49" s="81">
        <f t="shared" si="24"/>
        <v>0</v>
      </c>
      <c r="AJ49" s="81">
        <f t="shared" si="24"/>
        <v>0</v>
      </c>
      <c r="AK49" s="81">
        <f t="shared" si="24"/>
        <v>0</v>
      </c>
      <c r="AL49" s="81">
        <f t="shared" si="24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si="24"/>
        <v>0</v>
      </c>
      <c r="AE50" s="81">
        <f t="shared" si="24"/>
        <v>0</v>
      </c>
      <c r="AF50" s="81">
        <f t="shared" si="24"/>
        <v>0</v>
      </c>
      <c r="AG50" s="81">
        <f t="shared" si="24"/>
        <v>0</v>
      </c>
      <c r="AH50" s="81">
        <f t="shared" si="24"/>
        <v>0</v>
      </c>
      <c r="AI50" s="81">
        <f t="shared" si="24"/>
        <v>0</v>
      </c>
      <c r="AJ50" s="81">
        <f t="shared" si="24"/>
        <v>0</v>
      </c>
      <c r="AK50" s="81">
        <f t="shared" si="24"/>
        <v>0</v>
      </c>
      <c r="AL50" s="81">
        <f t="shared" si="24"/>
        <v>0</v>
      </c>
      <c r="AM50" s="81">
        <f t="shared" si="24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si="24"/>
        <v>0</v>
      </c>
      <c r="AE51" s="81">
        <f t="shared" si="24"/>
        <v>0</v>
      </c>
      <c r="AF51" s="81">
        <f t="shared" si="24"/>
        <v>0</v>
      </c>
      <c r="AG51" s="81">
        <f t="shared" si="24"/>
        <v>0</v>
      </c>
      <c r="AH51" s="81">
        <f t="shared" si="24"/>
        <v>0</v>
      </c>
      <c r="AI51" s="81">
        <f t="shared" si="24"/>
        <v>0</v>
      </c>
      <c r="AJ51" s="81">
        <f t="shared" si="24"/>
        <v>0</v>
      </c>
      <c r="AK51" s="81">
        <f t="shared" si="24"/>
        <v>0</v>
      </c>
      <c r="AL51" s="81">
        <f t="shared" si="24"/>
        <v>0</v>
      </c>
      <c r="AM51" s="81">
        <f t="shared" si="24"/>
        <v>0</v>
      </c>
      <c r="AN51" s="81">
        <f t="shared" si="2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si="24"/>
        <v>0</v>
      </c>
      <c r="AE52" s="81">
        <f t="shared" si="24"/>
        <v>0</v>
      </c>
      <c r="AF52" s="81">
        <f t="shared" si="24"/>
        <v>0</v>
      </c>
      <c r="AG52" s="81">
        <f t="shared" si="24"/>
        <v>0</v>
      </c>
      <c r="AH52" s="81">
        <f t="shared" si="24"/>
        <v>0</v>
      </c>
      <c r="AI52" s="81">
        <f t="shared" si="24"/>
        <v>0</v>
      </c>
      <c r="AJ52" s="81">
        <f t="shared" si="24"/>
        <v>0</v>
      </c>
      <c r="AK52" s="81">
        <f t="shared" si="24"/>
        <v>0</v>
      </c>
      <c r="AL52" s="81">
        <f t="shared" si="24"/>
        <v>0</v>
      </c>
      <c r="AM52" s="81">
        <f t="shared" si="24"/>
        <v>0</v>
      </c>
      <c r="AN52" s="81">
        <f t="shared" si="24"/>
        <v>0</v>
      </c>
      <c r="AO52" s="81">
        <f t="shared" si="24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si="24"/>
        <v>0</v>
      </c>
      <c r="AE53" s="81">
        <f t="shared" si="24"/>
        <v>0</v>
      </c>
      <c r="AF53" s="81">
        <f t="shared" si="24"/>
        <v>0</v>
      </c>
      <c r="AG53" s="81">
        <f t="shared" si="24"/>
        <v>0</v>
      </c>
      <c r="AH53" s="81">
        <f t="shared" si="24"/>
        <v>0</v>
      </c>
      <c r="AI53" s="81">
        <f t="shared" si="24"/>
        <v>0</v>
      </c>
      <c r="AJ53" s="81">
        <f t="shared" si="24"/>
        <v>0</v>
      </c>
      <c r="AK53" s="81">
        <f t="shared" si="24"/>
        <v>0</v>
      </c>
      <c r="AL53" s="81">
        <f t="shared" si="24"/>
        <v>0</v>
      </c>
      <c r="AM53" s="81">
        <f t="shared" si="24"/>
        <v>0</v>
      </c>
      <c r="AN53" s="81">
        <f t="shared" si="24"/>
        <v>0</v>
      </c>
      <c r="AO53" s="81">
        <f t="shared" si="24"/>
        <v>0</v>
      </c>
      <c r="AP53" s="81">
        <f t="shared" si="24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</row>
    <row r="54" spans="1:53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si="24"/>
        <v>0</v>
      </c>
      <c r="AE54" s="82">
        <f t="shared" si="24"/>
        <v>0</v>
      </c>
      <c r="AF54" s="82">
        <f t="shared" si="24"/>
        <v>0</v>
      </c>
      <c r="AG54" s="82">
        <f t="shared" si="24"/>
        <v>0</v>
      </c>
      <c r="AH54" s="82">
        <f t="shared" si="24"/>
        <v>0</v>
      </c>
      <c r="AI54" s="82">
        <f t="shared" si="24"/>
        <v>0</v>
      </c>
      <c r="AJ54" s="82">
        <f t="shared" si="24"/>
        <v>0</v>
      </c>
      <c r="AK54" s="82">
        <f t="shared" si="24"/>
        <v>0</v>
      </c>
      <c r="AL54" s="82">
        <f t="shared" si="24"/>
        <v>0</v>
      </c>
      <c r="AM54" s="82">
        <f t="shared" si="24"/>
        <v>0</v>
      </c>
      <c r="AN54" s="82">
        <f t="shared" si="24"/>
        <v>0</v>
      </c>
      <c r="AO54" s="82">
        <f t="shared" si="24"/>
        <v>0</v>
      </c>
      <c r="AP54" s="82">
        <f t="shared" si="24"/>
        <v>0</v>
      </c>
      <c r="AQ54" s="82">
        <f t="shared" si="24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ht="29.25" thickBot="1" x14ac:dyDescent="0.5">
      <c r="A58" s="1"/>
      <c r="B58" s="1"/>
      <c r="C58" s="1"/>
      <c r="D58" s="1"/>
      <c r="E58" s="1"/>
      <c r="F58" s="133" t="s">
        <v>160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1"/>
      <c r="D59" s="1"/>
      <c r="E59" s="1"/>
      <c r="F59" s="49" t="s">
        <v>149</v>
      </c>
      <c r="G59" s="9"/>
      <c r="H59" s="50">
        <f>H8</f>
        <v>0.5</v>
      </c>
      <c r="I59" s="50">
        <f t="shared" ref="I59:W59" si="25">I8</f>
        <v>1</v>
      </c>
      <c r="J59" s="50">
        <f t="shared" si="25"/>
        <v>1.5</v>
      </c>
      <c r="K59" s="50">
        <f t="shared" si="25"/>
        <v>2</v>
      </c>
      <c r="L59" s="50">
        <f t="shared" si="25"/>
        <v>2.5</v>
      </c>
      <c r="M59" s="50">
        <f t="shared" si="25"/>
        <v>3</v>
      </c>
      <c r="N59" s="50">
        <f t="shared" si="25"/>
        <v>3.5</v>
      </c>
      <c r="O59" s="50">
        <f t="shared" si="25"/>
        <v>4</v>
      </c>
      <c r="P59" s="50">
        <f t="shared" si="25"/>
        <v>4.5</v>
      </c>
      <c r="Q59" s="50">
        <f t="shared" si="25"/>
        <v>5</v>
      </c>
      <c r="R59" s="50">
        <f t="shared" si="25"/>
        <v>5.5</v>
      </c>
      <c r="S59" s="50">
        <f t="shared" si="25"/>
        <v>6</v>
      </c>
      <c r="T59" s="50">
        <f t="shared" si="25"/>
        <v>6.5</v>
      </c>
      <c r="U59" s="50">
        <f t="shared" si="25"/>
        <v>7</v>
      </c>
      <c r="V59" s="50">
        <f t="shared" si="25"/>
        <v>7.5</v>
      </c>
      <c r="W59" s="51">
        <f t="shared" si="25"/>
        <v>8</v>
      </c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1"/>
      <c r="D60" s="1"/>
      <c r="E60" s="1"/>
      <c r="F60" s="52" t="s">
        <v>159</v>
      </c>
      <c r="G60" s="1"/>
      <c r="H60" s="53">
        <v>1</v>
      </c>
      <c r="I60" s="53">
        <v>2</v>
      </c>
      <c r="J60" s="53">
        <v>3</v>
      </c>
      <c r="K60" s="53">
        <v>4</v>
      </c>
      <c r="L60" s="53">
        <v>5</v>
      </c>
      <c r="M60" s="53">
        <v>6</v>
      </c>
      <c r="N60" s="53">
        <v>7</v>
      </c>
      <c r="O60" s="53">
        <v>8</v>
      </c>
      <c r="P60" s="53">
        <v>9</v>
      </c>
      <c r="Q60" s="53">
        <v>10</v>
      </c>
      <c r="R60" s="53">
        <v>11</v>
      </c>
      <c r="S60" s="53">
        <v>12</v>
      </c>
      <c r="T60" s="53">
        <v>13</v>
      </c>
      <c r="U60" s="53">
        <v>14</v>
      </c>
      <c r="V60" s="53">
        <v>15</v>
      </c>
      <c r="W60" s="54">
        <v>16</v>
      </c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1"/>
      <c r="D61" s="1"/>
      <c r="E61" s="1"/>
      <c r="F61" s="52" t="s">
        <v>5</v>
      </c>
      <c r="G61" s="1"/>
      <c r="H61" s="53">
        <f>IF(AND($D$17&lt;=H$59, H$59&lt;=$D$18),$D$7,0)</f>
        <v>0</v>
      </c>
      <c r="I61" s="53">
        <f>IF(AND($D$17&lt;=I$59, I$59&lt;=$D$18),$D$7,0)</f>
        <v>10000</v>
      </c>
      <c r="J61" s="53">
        <f t="shared" ref="J61:W61" si="26">IF(AND($D$17&lt;=J$59, J$59&lt;=$D$18),$D$7,0)</f>
        <v>10000</v>
      </c>
      <c r="K61" s="53">
        <f t="shared" si="26"/>
        <v>0</v>
      </c>
      <c r="L61" s="53">
        <f t="shared" si="26"/>
        <v>0</v>
      </c>
      <c r="M61" s="53">
        <f t="shared" si="26"/>
        <v>0</v>
      </c>
      <c r="N61" s="53">
        <f t="shared" si="26"/>
        <v>0</v>
      </c>
      <c r="O61" s="53">
        <f t="shared" si="26"/>
        <v>0</v>
      </c>
      <c r="P61" s="53">
        <f t="shared" si="26"/>
        <v>0</v>
      </c>
      <c r="Q61" s="53">
        <f t="shared" si="26"/>
        <v>0</v>
      </c>
      <c r="R61" s="53">
        <f t="shared" si="26"/>
        <v>0</v>
      </c>
      <c r="S61" s="53">
        <f t="shared" si="26"/>
        <v>0</v>
      </c>
      <c r="T61" s="53">
        <f t="shared" si="26"/>
        <v>0</v>
      </c>
      <c r="U61" s="53">
        <f t="shared" si="26"/>
        <v>0</v>
      </c>
      <c r="V61" s="53">
        <f t="shared" si="26"/>
        <v>0</v>
      </c>
      <c r="W61" s="54">
        <f t="shared" si="26"/>
        <v>0</v>
      </c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1"/>
      <c r="D62" s="1"/>
      <c r="E62" s="1"/>
      <c r="F62" s="52" t="s">
        <v>20</v>
      </c>
      <c r="G62" s="1"/>
      <c r="H62" s="53">
        <f>IF(AND($D$17&lt;=H$59, H$59&lt;=$D$18),$D$9,0)</f>
        <v>0</v>
      </c>
      <c r="I62" s="53">
        <f t="shared" ref="I62:W62" si="27">IF(AND($D$17&lt;=I$59, I$59&lt;=$D$18),$D$9,0)</f>
        <v>0.5</v>
      </c>
      <c r="J62" s="53">
        <f t="shared" si="27"/>
        <v>0.5</v>
      </c>
      <c r="K62" s="53">
        <f t="shared" si="27"/>
        <v>0</v>
      </c>
      <c r="L62" s="53">
        <f t="shared" si="27"/>
        <v>0</v>
      </c>
      <c r="M62" s="53">
        <f t="shared" si="27"/>
        <v>0</v>
      </c>
      <c r="N62" s="53">
        <f t="shared" si="27"/>
        <v>0</v>
      </c>
      <c r="O62" s="53">
        <f t="shared" si="27"/>
        <v>0</v>
      </c>
      <c r="P62" s="53">
        <f t="shared" si="27"/>
        <v>0</v>
      </c>
      <c r="Q62" s="53">
        <f t="shared" si="27"/>
        <v>0</v>
      </c>
      <c r="R62" s="53">
        <f t="shared" si="27"/>
        <v>0</v>
      </c>
      <c r="S62" s="53">
        <f t="shared" si="27"/>
        <v>0</v>
      </c>
      <c r="T62" s="53">
        <f t="shared" si="27"/>
        <v>0</v>
      </c>
      <c r="U62" s="53">
        <f t="shared" si="27"/>
        <v>0</v>
      </c>
      <c r="V62" s="53">
        <f t="shared" si="27"/>
        <v>0</v>
      </c>
      <c r="W62" s="54">
        <f t="shared" si="27"/>
        <v>0</v>
      </c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1"/>
      <c r="D63" s="1"/>
      <c r="E63" s="1"/>
      <c r="F63" s="52" t="s">
        <v>9</v>
      </c>
      <c r="G63" s="1"/>
      <c r="H63" s="53">
        <f>IF(AND($D$17&lt;=H$59, H$59&lt;=$D$18),$D$8,0)</f>
        <v>0</v>
      </c>
      <c r="I63" s="53">
        <f t="shared" ref="I63:W63" si="28">IF(AND($D$17&lt;=I$59, I$59&lt;=$D$18),$D$8,0)</f>
        <v>2</v>
      </c>
      <c r="J63" s="53">
        <f t="shared" si="28"/>
        <v>2</v>
      </c>
      <c r="K63" s="53">
        <f t="shared" si="28"/>
        <v>0</v>
      </c>
      <c r="L63" s="53">
        <f t="shared" si="28"/>
        <v>0</v>
      </c>
      <c r="M63" s="53">
        <f t="shared" si="28"/>
        <v>0</v>
      </c>
      <c r="N63" s="53">
        <f t="shared" si="28"/>
        <v>0</v>
      </c>
      <c r="O63" s="53">
        <f t="shared" si="28"/>
        <v>0</v>
      </c>
      <c r="P63" s="53">
        <f t="shared" si="28"/>
        <v>0</v>
      </c>
      <c r="Q63" s="53">
        <f t="shared" si="28"/>
        <v>0</v>
      </c>
      <c r="R63" s="53">
        <f t="shared" si="28"/>
        <v>0</v>
      </c>
      <c r="S63" s="53">
        <f t="shared" si="28"/>
        <v>0</v>
      </c>
      <c r="T63" s="53">
        <f t="shared" si="28"/>
        <v>0</v>
      </c>
      <c r="U63" s="53">
        <f t="shared" si="28"/>
        <v>0</v>
      </c>
      <c r="V63" s="53">
        <f t="shared" si="28"/>
        <v>0</v>
      </c>
      <c r="W63" s="54">
        <f t="shared" si="28"/>
        <v>0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1"/>
      <c r="D64" s="1"/>
      <c r="E64" s="1"/>
      <c r="F64" s="52" t="s">
        <v>161</v>
      </c>
      <c r="G64" s="1"/>
      <c r="H64" s="53">
        <f>IF(AND($D$17&lt;=H$59, H$59&lt;=$D$18),$D$11,0)</f>
        <v>0</v>
      </c>
      <c r="I64" s="53">
        <f t="shared" ref="I64:W64" si="29">IF(AND($D$17&lt;=I$59, I$59&lt;=$D$18),$D$11,0)</f>
        <v>3.9E-2</v>
      </c>
      <c r="J64" s="53">
        <f t="shared" si="29"/>
        <v>3.9E-2</v>
      </c>
      <c r="K64" s="53">
        <f t="shared" si="29"/>
        <v>0</v>
      </c>
      <c r="L64" s="53">
        <f t="shared" si="29"/>
        <v>0</v>
      </c>
      <c r="M64" s="53">
        <f t="shared" si="29"/>
        <v>0</v>
      </c>
      <c r="N64" s="53">
        <f t="shared" si="29"/>
        <v>0</v>
      </c>
      <c r="O64" s="53">
        <f t="shared" si="29"/>
        <v>0</v>
      </c>
      <c r="P64" s="53">
        <f t="shared" si="29"/>
        <v>0</v>
      </c>
      <c r="Q64" s="53">
        <f t="shared" si="29"/>
        <v>0</v>
      </c>
      <c r="R64" s="53">
        <f t="shared" si="29"/>
        <v>0</v>
      </c>
      <c r="S64" s="53">
        <f t="shared" si="29"/>
        <v>0</v>
      </c>
      <c r="T64" s="53">
        <f t="shared" si="29"/>
        <v>0</v>
      </c>
      <c r="U64" s="53">
        <f t="shared" si="29"/>
        <v>0</v>
      </c>
      <c r="V64" s="53">
        <f t="shared" si="29"/>
        <v>0</v>
      </c>
      <c r="W64" s="54">
        <f t="shared" si="29"/>
        <v>0</v>
      </c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1"/>
      <c r="D65" s="1"/>
      <c r="E65" s="1"/>
      <c r="F65" s="52" t="s">
        <v>162</v>
      </c>
      <c r="G65" s="1"/>
      <c r="H65" s="53">
        <f>IF(AND($D$17&lt;=H$59, H$59&lt;=$D$18), G8, 0)</f>
        <v>0</v>
      </c>
      <c r="I65" s="53">
        <f t="shared" ref="I65:W65" si="30">IF(AND($D$17&lt;=I$59, I$59&lt;=$D$18), H8, 0)</f>
        <v>0.5</v>
      </c>
      <c r="J65" s="53">
        <f t="shared" si="30"/>
        <v>1</v>
      </c>
      <c r="K65" s="53">
        <f t="shared" si="30"/>
        <v>0</v>
      </c>
      <c r="L65" s="53">
        <f t="shared" si="30"/>
        <v>0</v>
      </c>
      <c r="M65" s="53">
        <f t="shared" si="30"/>
        <v>0</v>
      </c>
      <c r="N65" s="53">
        <f t="shared" si="30"/>
        <v>0</v>
      </c>
      <c r="O65" s="53">
        <f t="shared" si="30"/>
        <v>0</v>
      </c>
      <c r="P65" s="53">
        <f t="shared" si="30"/>
        <v>0</v>
      </c>
      <c r="Q65" s="53">
        <f t="shared" si="30"/>
        <v>0</v>
      </c>
      <c r="R65" s="53">
        <f t="shared" si="30"/>
        <v>0</v>
      </c>
      <c r="S65" s="53">
        <f t="shared" si="30"/>
        <v>0</v>
      </c>
      <c r="T65" s="53">
        <f t="shared" si="30"/>
        <v>0</v>
      </c>
      <c r="U65" s="53">
        <f t="shared" si="30"/>
        <v>0</v>
      </c>
      <c r="V65" s="53">
        <f t="shared" si="30"/>
        <v>0</v>
      </c>
      <c r="W65" s="54">
        <f t="shared" si="30"/>
        <v>0</v>
      </c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ht="15.75" thickBot="1" x14ac:dyDescent="0.3">
      <c r="A66" s="1"/>
      <c r="B66" s="1"/>
      <c r="C66" s="1"/>
      <c r="D66" s="1"/>
      <c r="E66" s="1"/>
      <c r="F66" s="55" t="s">
        <v>163</v>
      </c>
      <c r="G66" s="14"/>
      <c r="H66" s="56">
        <f>IF(AND($D$17&lt;=H$59, H$59&lt;=$D$18), $D$10, 0)</f>
        <v>0</v>
      </c>
      <c r="I66" s="56">
        <f t="shared" ref="I66:W66" si="31">IF(AND($D$17&lt;=I$59, I$59&lt;=$D$18), $D$10, 0)</f>
        <v>9.1055114123566233E-2</v>
      </c>
      <c r="J66" s="56">
        <f t="shared" si="31"/>
        <v>9.1055114123566233E-2</v>
      </c>
      <c r="K66" s="56">
        <f t="shared" si="31"/>
        <v>0</v>
      </c>
      <c r="L66" s="56">
        <f t="shared" si="31"/>
        <v>0</v>
      </c>
      <c r="M66" s="56">
        <f t="shared" si="31"/>
        <v>0</v>
      </c>
      <c r="N66" s="56">
        <f t="shared" si="31"/>
        <v>0</v>
      </c>
      <c r="O66" s="56">
        <f t="shared" si="31"/>
        <v>0</v>
      </c>
      <c r="P66" s="56">
        <f t="shared" si="31"/>
        <v>0</v>
      </c>
      <c r="Q66" s="56">
        <f t="shared" si="31"/>
        <v>0</v>
      </c>
      <c r="R66" s="56">
        <f t="shared" si="31"/>
        <v>0</v>
      </c>
      <c r="S66" s="56">
        <f t="shared" si="31"/>
        <v>0</v>
      </c>
      <c r="T66" s="56">
        <f t="shared" si="31"/>
        <v>0</v>
      </c>
      <c r="U66" s="56">
        <f t="shared" si="31"/>
        <v>0</v>
      </c>
      <c r="V66" s="56">
        <f t="shared" si="31"/>
        <v>0</v>
      </c>
      <c r="W66" s="132">
        <f t="shared" si="31"/>
        <v>0</v>
      </c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ht="15.75" thickBot="1" x14ac:dyDescent="0.3">
      <c r="A67" s="1"/>
      <c r="B67" s="1"/>
      <c r="C67" s="1"/>
      <c r="D67" s="1"/>
      <c r="E67" s="1"/>
      <c r="F67" s="12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1"/>
      <c r="D68" s="1"/>
      <c r="E68" s="1"/>
      <c r="F68" s="49" t="s">
        <v>164</v>
      </c>
      <c r="G68" s="9"/>
      <c r="H68" s="50">
        <f>H13</f>
        <v>0.98816277777777772</v>
      </c>
      <c r="I68" s="50">
        <f t="shared" ref="I68:W68" si="32">I13</f>
        <v>0.97270666666666672</v>
      </c>
      <c r="J68" s="50">
        <f t="shared" si="32"/>
        <v>0.95988722222222234</v>
      </c>
      <c r="K68" s="50">
        <f t="shared" si="32"/>
        <v>0.94794611111111116</v>
      </c>
      <c r="L68" s="50">
        <f t="shared" si="32"/>
        <v>0</v>
      </c>
      <c r="M68" s="50">
        <f t="shared" si="32"/>
        <v>0</v>
      </c>
      <c r="N68" s="50">
        <f t="shared" si="32"/>
        <v>0</v>
      </c>
      <c r="O68" s="50">
        <f t="shared" si="32"/>
        <v>0</v>
      </c>
      <c r="P68" s="50">
        <f t="shared" si="32"/>
        <v>0</v>
      </c>
      <c r="Q68" s="50">
        <f t="shared" si="32"/>
        <v>0</v>
      </c>
      <c r="R68" s="50">
        <f t="shared" si="32"/>
        <v>0</v>
      </c>
      <c r="S68" s="50">
        <f t="shared" si="32"/>
        <v>0</v>
      </c>
      <c r="T68" s="50">
        <f t="shared" si="32"/>
        <v>0</v>
      </c>
      <c r="U68" s="50">
        <f t="shared" si="32"/>
        <v>0</v>
      </c>
      <c r="V68" s="50">
        <f t="shared" si="32"/>
        <v>0</v>
      </c>
      <c r="W68" s="51">
        <f t="shared" si="32"/>
        <v>0</v>
      </c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ht="15.75" thickBot="1" x14ac:dyDescent="0.3">
      <c r="A69" s="1"/>
      <c r="B69" s="1"/>
      <c r="C69" s="1"/>
      <c r="D69" s="1"/>
      <c r="E69" s="1"/>
      <c r="F69" s="55" t="s">
        <v>165</v>
      </c>
      <c r="G69" s="14"/>
      <c r="H69" s="56"/>
      <c r="I69" s="56">
        <f>AC40</f>
        <v>3.1779593254103844E-2</v>
      </c>
      <c r="J69" s="56">
        <f>AD41</f>
        <v>2.6710313769499727E-2</v>
      </c>
      <c r="K69" s="56">
        <f>AE42</f>
        <v>2.5193649662457407E-2</v>
      </c>
      <c r="L69" s="56">
        <f>AF43</f>
        <v>0</v>
      </c>
      <c r="M69" s="56">
        <f>AG44</f>
        <v>0</v>
      </c>
      <c r="N69" s="56">
        <f>AH45</f>
        <v>0</v>
      </c>
      <c r="O69" s="56">
        <f>AI46</f>
        <v>0</v>
      </c>
      <c r="P69" s="56">
        <f>AJ47</f>
        <v>0</v>
      </c>
      <c r="Q69" s="56">
        <f>AK48</f>
        <v>0</v>
      </c>
      <c r="R69" s="56">
        <f>AL49</f>
        <v>0</v>
      </c>
      <c r="S69" s="56">
        <f>AM50</f>
        <v>0</v>
      </c>
      <c r="T69" s="56">
        <f>AN51</f>
        <v>0</v>
      </c>
      <c r="U69" s="56">
        <f>AO52</f>
        <v>0</v>
      </c>
      <c r="V69" s="56">
        <f>AP53</f>
        <v>0</v>
      </c>
      <c r="W69" s="132">
        <f>AQ54</f>
        <v>0</v>
      </c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15.75" thickBo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1"/>
      <c r="D71" s="1"/>
      <c r="E71" s="1"/>
      <c r="F71" s="49" t="s">
        <v>166</v>
      </c>
      <c r="G71" s="9"/>
      <c r="H71" s="50"/>
      <c r="I71" s="50">
        <f>IF(I59&lt;=$D$18, (LN(I69/$I$64)+((I66^2)/2*(I65)))/(I66*SQRT(I65)), 0)</f>
        <v>-3.1476641731199431</v>
      </c>
      <c r="J71" s="50">
        <f t="shared" ref="J71:W71" si="33">IF(J59&lt;=$D$18, (LN(J69/$I$64)+((J66^2)/2*(J65)))/(J66*SQRT(J65)), 0)</f>
        <v>-4.1114259040714982</v>
      </c>
      <c r="K71" s="50">
        <f t="shared" si="33"/>
        <v>0</v>
      </c>
      <c r="L71" s="50">
        <f t="shared" si="33"/>
        <v>0</v>
      </c>
      <c r="M71" s="50">
        <f t="shared" si="33"/>
        <v>0</v>
      </c>
      <c r="N71" s="50">
        <f t="shared" si="33"/>
        <v>0</v>
      </c>
      <c r="O71" s="50">
        <f t="shared" si="33"/>
        <v>0</v>
      </c>
      <c r="P71" s="50">
        <f t="shared" si="33"/>
        <v>0</v>
      </c>
      <c r="Q71" s="50">
        <f t="shared" si="33"/>
        <v>0</v>
      </c>
      <c r="R71" s="50">
        <f t="shared" si="33"/>
        <v>0</v>
      </c>
      <c r="S71" s="50">
        <f t="shared" si="33"/>
        <v>0</v>
      </c>
      <c r="T71" s="50">
        <f t="shared" si="33"/>
        <v>0</v>
      </c>
      <c r="U71" s="50">
        <f t="shared" si="33"/>
        <v>0</v>
      </c>
      <c r="V71" s="50">
        <f t="shared" si="33"/>
        <v>0</v>
      </c>
      <c r="W71" s="51">
        <f t="shared" si="33"/>
        <v>0</v>
      </c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x14ac:dyDescent="0.25">
      <c r="A72" s="1"/>
      <c r="B72" s="1"/>
      <c r="C72" s="1"/>
      <c r="D72" s="1"/>
      <c r="E72" s="1"/>
      <c r="F72" s="52" t="s">
        <v>167</v>
      </c>
      <c r="G72" s="1"/>
      <c r="H72" s="53"/>
      <c r="I72" s="53">
        <f>IF(I59&lt;=$D$18, I71-I66*SQRT(I65), 0)</f>
        <v>-3.2120498617784317</v>
      </c>
      <c r="J72" s="53">
        <f t="shared" ref="J72:W72" si="34">IF(J59&lt;=$D$18, J71-J66*SQRT(J65), 0)</f>
        <v>-4.2024810181950647</v>
      </c>
      <c r="K72" s="53">
        <f t="shared" si="34"/>
        <v>0</v>
      </c>
      <c r="L72" s="53">
        <f t="shared" si="34"/>
        <v>0</v>
      </c>
      <c r="M72" s="53">
        <f t="shared" si="34"/>
        <v>0</v>
      </c>
      <c r="N72" s="53">
        <f t="shared" si="34"/>
        <v>0</v>
      </c>
      <c r="O72" s="53">
        <f t="shared" si="34"/>
        <v>0</v>
      </c>
      <c r="P72" s="53">
        <f t="shared" si="34"/>
        <v>0</v>
      </c>
      <c r="Q72" s="53">
        <f t="shared" si="34"/>
        <v>0</v>
      </c>
      <c r="R72" s="53">
        <f t="shared" si="34"/>
        <v>0</v>
      </c>
      <c r="S72" s="53">
        <f t="shared" si="34"/>
        <v>0</v>
      </c>
      <c r="T72" s="53">
        <f t="shared" si="34"/>
        <v>0</v>
      </c>
      <c r="U72" s="53">
        <f t="shared" si="34"/>
        <v>0</v>
      </c>
      <c r="V72" s="53">
        <f t="shared" si="34"/>
        <v>0</v>
      </c>
      <c r="W72" s="54">
        <f t="shared" si="34"/>
        <v>0</v>
      </c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x14ac:dyDescent="0.25">
      <c r="A73" s="1"/>
      <c r="B73" s="1"/>
      <c r="C73" s="1"/>
      <c r="D73" s="1"/>
      <c r="E73" s="1"/>
      <c r="F73" s="52" t="s">
        <v>168</v>
      </c>
      <c r="G73" s="1"/>
      <c r="H73" s="53"/>
      <c r="I73" s="53">
        <f>IF(I59&lt;=$D$18, _xlfn.NORM.S.DIST(I71, TRUE), 0)</f>
        <v>8.2290328178179651E-4</v>
      </c>
      <c r="J73" s="53">
        <f t="shared" ref="J73:W73" si="35">IF(J59&lt;=$D$18, _xlfn.NORM.S.DIST(J71, TRUE), 0)</f>
        <v>1.9661153605405041E-5</v>
      </c>
      <c r="K73" s="53">
        <f t="shared" si="35"/>
        <v>0</v>
      </c>
      <c r="L73" s="53">
        <f t="shared" si="35"/>
        <v>0</v>
      </c>
      <c r="M73" s="53">
        <f t="shared" si="35"/>
        <v>0</v>
      </c>
      <c r="N73" s="53">
        <f t="shared" si="35"/>
        <v>0</v>
      </c>
      <c r="O73" s="53">
        <f t="shared" si="35"/>
        <v>0</v>
      </c>
      <c r="P73" s="53">
        <f t="shared" si="35"/>
        <v>0</v>
      </c>
      <c r="Q73" s="53">
        <f t="shared" si="35"/>
        <v>0</v>
      </c>
      <c r="R73" s="53">
        <f t="shared" si="35"/>
        <v>0</v>
      </c>
      <c r="S73" s="53">
        <f t="shared" si="35"/>
        <v>0</v>
      </c>
      <c r="T73" s="53">
        <f t="shared" si="35"/>
        <v>0</v>
      </c>
      <c r="U73" s="53">
        <f t="shared" si="35"/>
        <v>0</v>
      </c>
      <c r="V73" s="53">
        <f t="shared" si="35"/>
        <v>0</v>
      </c>
      <c r="W73" s="54">
        <f t="shared" si="35"/>
        <v>0</v>
      </c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ht="15.75" thickBot="1" x14ac:dyDescent="0.3">
      <c r="A74" s="1"/>
      <c r="B74" s="1"/>
      <c r="C74" s="1"/>
      <c r="D74" s="1"/>
      <c r="E74" s="1"/>
      <c r="F74" s="55" t="s">
        <v>169</v>
      </c>
      <c r="G74" s="14"/>
      <c r="H74" s="56"/>
      <c r="I74" s="56">
        <f>IF(I59&lt;= $D$18, _xlfn.NORM.S.DIST(I72, TRUE), 0)</f>
        <v>6.5895749734936758E-4</v>
      </c>
      <c r="J74" s="56">
        <f t="shared" ref="J74:W74" si="36">IF(J59&lt;= $D$18, _xlfn.NORM.S.DIST(J72, TRUE), 0)</f>
        <v>1.3200269626063788E-5</v>
      </c>
      <c r="K74" s="56">
        <f t="shared" si="36"/>
        <v>0</v>
      </c>
      <c r="L74" s="56">
        <f t="shared" si="36"/>
        <v>0</v>
      </c>
      <c r="M74" s="56">
        <f t="shared" si="36"/>
        <v>0</v>
      </c>
      <c r="N74" s="56">
        <f t="shared" si="36"/>
        <v>0</v>
      </c>
      <c r="O74" s="56">
        <f t="shared" si="36"/>
        <v>0</v>
      </c>
      <c r="P74" s="56">
        <f t="shared" si="36"/>
        <v>0</v>
      </c>
      <c r="Q74" s="56">
        <f t="shared" si="36"/>
        <v>0</v>
      </c>
      <c r="R74" s="56">
        <f t="shared" si="36"/>
        <v>0</v>
      </c>
      <c r="S74" s="56">
        <f t="shared" si="36"/>
        <v>0</v>
      </c>
      <c r="T74" s="56">
        <f t="shared" si="36"/>
        <v>0</v>
      </c>
      <c r="U74" s="56">
        <f t="shared" si="36"/>
        <v>0</v>
      </c>
      <c r="V74" s="56">
        <f t="shared" si="36"/>
        <v>0</v>
      </c>
      <c r="W74" s="132">
        <f t="shared" si="36"/>
        <v>0</v>
      </c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ht="15.75" thickBot="1" x14ac:dyDescent="0.3">
      <c r="A75" s="1"/>
      <c r="B75" s="1"/>
      <c r="C75" s="1"/>
      <c r="D75" s="1"/>
      <c r="E75" s="1"/>
      <c r="F75" s="12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1"/>
      <c r="D76" s="1"/>
      <c r="E76" s="1"/>
      <c r="F76" s="49" t="s">
        <v>170</v>
      </c>
      <c r="G76" s="9"/>
      <c r="H76" s="50"/>
      <c r="I76" s="50">
        <f>I61*I62*I68*(I69*I73-I64*I74)</f>
        <v>2.1992371784387626E-3</v>
      </c>
      <c r="J76" s="50">
        <f t="shared" ref="J76:W76" si="37">J61*J62*J68*(J69*J73-J64*J74)</f>
        <v>4.9650485512187868E-5</v>
      </c>
      <c r="K76" s="50">
        <f t="shared" si="37"/>
        <v>0</v>
      </c>
      <c r="L76" s="50">
        <f t="shared" si="37"/>
        <v>0</v>
      </c>
      <c r="M76" s="50">
        <f t="shared" si="37"/>
        <v>0</v>
      </c>
      <c r="N76" s="50">
        <f t="shared" si="37"/>
        <v>0</v>
      </c>
      <c r="O76" s="50">
        <f t="shared" si="37"/>
        <v>0</v>
      </c>
      <c r="P76" s="50">
        <f t="shared" si="37"/>
        <v>0</v>
      </c>
      <c r="Q76" s="50">
        <f t="shared" si="37"/>
        <v>0</v>
      </c>
      <c r="R76" s="50">
        <f t="shared" si="37"/>
        <v>0</v>
      </c>
      <c r="S76" s="50">
        <f t="shared" si="37"/>
        <v>0</v>
      </c>
      <c r="T76" s="50">
        <f t="shared" si="37"/>
        <v>0</v>
      </c>
      <c r="U76" s="50">
        <f t="shared" si="37"/>
        <v>0</v>
      </c>
      <c r="V76" s="50">
        <f t="shared" si="37"/>
        <v>0</v>
      </c>
      <c r="W76" s="51">
        <f t="shared" si="37"/>
        <v>0</v>
      </c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ht="15.75" thickBot="1" x14ac:dyDescent="0.3">
      <c r="A77" s="1"/>
      <c r="B77" s="1"/>
      <c r="C77" s="1"/>
      <c r="D77" s="1"/>
      <c r="E77" s="1"/>
      <c r="F77" s="55" t="s">
        <v>159</v>
      </c>
      <c r="G77" s="14"/>
      <c r="H77" s="56"/>
      <c r="I77" s="56">
        <f>I76-I61*I62*I68*(I69-I64)</f>
        <v>35.118888126069258</v>
      </c>
      <c r="J77" s="56">
        <f t="shared" ref="J77:W77" si="38">J76-J61*J62*J68*(J69-J64)</f>
        <v>58.983613539373529</v>
      </c>
      <c r="K77" s="56">
        <f t="shared" si="38"/>
        <v>0</v>
      </c>
      <c r="L77" s="56">
        <f t="shared" si="38"/>
        <v>0</v>
      </c>
      <c r="M77" s="56">
        <f t="shared" si="38"/>
        <v>0</v>
      </c>
      <c r="N77" s="56">
        <f t="shared" si="38"/>
        <v>0</v>
      </c>
      <c r="O77" s="56">
        <f t="shared" si="38"/>
        <v>0</v>
      </c>
      <c r="P77" s="56">
        <f t="shared" si="38"/>
        <v>0</v>
      </c>
      <c r="Q77" s="56">
        <f t="shared" si="38"/>
        <v>0</v>
      </c>
      <c r="R77" s="56">
        <f t="shared" si="38"/>
        <v>0</v>
      </c>
      <c r="S77" s="56">
        <f t="shared" si="38"/>
        <v>0</v>
      </c>
      <c r="T77" s="56">
        <f t="shared" si="38"/>
        <v>0</v>
      </c>
      <c r="U77" s="56">
        <f t="shared" si="38"/>
        <v>0</v>
      </c>
      <c r="V77" s="56">
        <f t="shared" si="38"/>
        <v>0</v>
      </c>
      <c r="W77" s="132">
        <f t="shared" si="38"/>
        <v>0</v>
      </c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ht="15.75" thickBo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x14ac:dyDescent="0.25">
      <c r="A79" s="1"/>
      <c r="B79" s="1"/>
      <c r="C79" s="1"/>
      <c r="D79" s="1"/>
      <c r="E79" s="1"/>
      <c r="F79" s="49" t="s">
        <v>171</v>
      </c>
      <c r="G79" s="134">
        <f>SUM(I77:W77)</f>
        <v>94.102501665442787</v>
      </c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ht="15.75" thickBot="1" x14ac:dyDescent="0.3">
      <c r="A80" s="1"/>
      <c r="B80" s="1"/>
      <c r="C80" s="1"/>
      <c r="D80" s="1"/>
      <c r="E80" s="1"/>
      <c r="F80" s="55" t="s">
        <v>172</v>
      </c>
      <c r="G80" s="135">
        <f>SUM(I76:W76)</f>
        <v>2.2488876639509504E-3</v>
      </c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  <row r="112" spans="1:5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</row>
    <row r="113" spans="1:5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</row>
    <row r="114" spans="1:5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</row>
    <row r="115" spans="1:5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</row>
    <row r="116" spans="1:5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</row>
    <row r="117" spans="1:5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</row>
    <row r="118" spans="1:5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</row>
    <row r="119" spans="1:5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</row>
    <row r="120" spans="1:5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</row>
    <row r="121" spans="1:5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</row>
    <row r="122" spans="1:5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</row>
    <row r="123" spans="1:5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</row>
    <row r="124" spans="1:5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</row>
    <row r="125" spans="1:5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</row>
    <row r="126" spans="1:5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</row>
    <row r="127" spans="1:5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</row>
    <row r="128" spans="1:5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</row>
    <row r="129" spans="1:5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</row>
    <row r="130" spans="1:5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</row>
    <row r="131" spans="1:5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</row>
    <row r="132" spans="1:5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</row>
    <row r="133" spans="1:5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</row>
    <row r="134" spans="1:5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</row>
    <row r="135" spans="1:5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</row>
    <row r="136" spans="1:5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</row>
    <row r="137" spans="1:5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</row>
    <row r="138" spans="1:5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</row>
    <row r="139" spans="1:5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</row>
    <row r="140" spans="1:5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</row>
    <row r="141" spans="1:5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</row>
    <row r="142" spans="1:5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</row>
    <row r="143" spans="1:5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</row>
    <row r="144" spans="1:5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</row>
    <row r="145" spans="1:5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</row>
    <row r="146" spans="1:5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</row>
    <row r="147" spans="1:5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</row>
    <row r="148" spans="1:5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</row>
    <row r="149" spans="1:5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</row>
    <row r="150" spans="1:5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</row>
    <row r="151" spans="1:5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</row>
    <row r="152" spans="1:5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</row>
    <row r="153" spans="1:5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</row>
    <row r="154" spans="1:5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</row>
    <row r="155" spans="1:5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</row>
    <row r="156" spans="1:5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</row>
    <row r="157" spans="1:5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</row>
    <row r="158" spans="1:5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</row>
    <row r="159" spans="1:5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</row>
    <row r="160" spans="1:5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</row>
    <row r="161" spans="1:5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</row>
    <row r="162" spans="1:5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</row>
    <row r="163" spans="1:5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</row>
    <row r="164" spans="1:5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</row>
    <row r="165" spans="1:5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</row>
    <row r="166" spans="1:5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</row>
    <row r="167" spans="1:5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</row>
    <row r="168" spans="1:5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</row>
    <row r="169" spans="1:5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</row>
    <row r="170" spans="1:5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</row>
    <row r="171" spans="1:5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</row>
    <row r="172" spans="1:5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</row>
    <row r="173" spans="1:5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</row>
    <row r="174" spans="1:5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</row>
    <row r="175" spans="1:5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</row>
    <row r="176" spans="1:5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</row>
    <row r="177" spans="1:5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</row>
    <row r="178" spans="1:5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</row>
    <row r="179" spans="1:5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</row>
    <row r="180" spans="1:5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</row>
    <row r="181" spans="1:5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</row>
    <row r="182" spans="1:5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</row>
    <row r="183" spans="1:5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</row>
    <row r="184" spans="1:5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</row>
    <row r="185" spans="1:5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</row>
    <row r="186" spans="1:5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</row>
    <row r="187" spans="1:5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</row>
    <row r="188" spans="1:5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</row>
    <row r="189" spans="1:5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</row>
    <row r="190" spans="1:5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</row>
    <row r="191" spans="1:5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</row>
    <row r="192" spans="1:5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</row>
    <row r="193" spans="1:5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</row>
    <row r="194" spans="1:5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</row>
    <row r="195" spans="1:5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</row>
    <row r="196" spans="1:5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</row>
    <row r="197" spans="1:5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</row>
    <row r="198" spans="1:5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</row>
    <row r="199" spans="1:5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</row>
    <row r="200" spans="1:5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</row>
    <row r="201" spans="1:5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</row>
    <row r="202" spans="1:5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</row>
    <row r="203" spans="1:5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</row>
    <row r="204" spans="1:5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</row>
    <row r="205" spans="1:5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</row>
    <row r="206" spans="1:5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</row>
    <row r="207" spans="1:53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</row>
    <row r="208" spans="1:53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</row>
    <row r="209" spans="1:53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</row>
    <row r="210" spans="1:53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</row>
    <row r="211" spans="1:53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</row>
    <row r="212" spans="1:53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</row>
    <row r="213" spans="1:53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</row>
    <row r="214" spans="1:53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</row>
    <row r="215" spans="1:53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</row>
    <row r="216" spans="1:53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</row>
    <row r="217" spans="1:53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</row>
    <row r="218" spans="1:53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</row>
    <row r="219" spans="1:53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</row>
    <row r="220" spans="1:53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</row>
    <row r="221" spans="1:53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</row>
    <row r="222" spans="1:53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</row>
    <row r="223" spans="1:53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</row>
    <row r="224" spans="1:53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</row>
    <row r="225" spans="1:53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</row>
    <row r="226" spans="1:53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</row>
    <row r="227" spans="1:53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</row>
    <row r="228" spans="1:53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</row>
    <row r="229" spans="1:53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</row>
    <row r="230" spans="1:53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</row>
    <row r="231" spans="1:53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</row>
    <row r="232" spans="1:53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</row>
    <row r="233" spans="1:53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</row>
    <row r="234" spans="1:53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</row>
    <row r="235" spans="1:53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</row>
    <row r="236" spans="1:53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</row>
    <row r="237" spans="1:53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</row>
    <row r="238" spans="1:53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</row>
    <row r="239" spans="1:53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</row>
    <row r="240" spans="1:53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</row>
    <row r="241" spans="1:53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</row>
    <row r="242" spans="1:53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</row>
    <row r="243" spans="1:53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</row>
    <row r="244" spans="1:53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</row>
    <row r="245" spans="1:53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</row>
    <row r="246" spans="1:53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</row>
    <row r="247" spans="1:53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</row>
    <row r="248" spans="1:53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</row>
    <row r="249" spans="1:53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</row>
    <row r="250" spans="1:53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</row>
    <row r="251" spans="1:53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</row>
    <row r="252" spans="1:53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</row>
    <row r="253" spans="1:53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</row>
    <row r="254" spans="1:53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</row>
    <row r="255" spans="1:53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</row>
    <row r="256" spans="1:53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</row>
    <row r="257" spans="1:53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</row>
    <row r="258" spans="1:53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</row>
    <row r="259" spans="1:53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</row>
    <row r="260" spans="1:53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</row>
    <row r="261" spans="1:53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</row>
    <row r="262" spans="1:53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</row>
    <row r="263" spans="1:53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</row>
    <row r="264" spans="1:53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</row>
    <row r="265" spans="1:53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</row>
    <row r="266" spans="1:53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</row>
    <row r="267" spans="1:53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</row>
    <row r="268" spans="1:53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</row>
    <row r="269" spans="1:53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</row>
    <row r="270" spans="1:53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</row>
    <row r="271" spans="1:53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</row>
    <row r="272" spans="1:53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</row>
    <row r="273" spans="1:53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</row>
    <row r="274" spans="1:53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</row>
    <row r="275" spans="1:53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</row>
    <row r="276" spans="1:53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</row>
    <row r="277" spans="1:53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</row>
    <row r="278" spans="1:53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</row>
    <row r="279" spans="1:53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</row>
    <row r="280" spans="1:53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</row>
    <row r="281" spans="1:53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</row>
    <row r="282" spans="1:53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</row>
    <row r="283" spans="1:53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</row>
    <row r="284" spans="1:53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</row>
    <row r="285" spans="1:53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</row>
    <row r="286" spans="1:53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</row>
    <row r="287" spans="1:53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</row>
    <row r="288" spans="1:53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</row>
    <row r="289" spans="1:53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</row>
    <row r="290" spans="1:53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</row>
    <row r="291" spans="1:53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</row>
    <row r="292" spans="1:53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</row>
    <row r="293" spans="1:53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</row>
    <row r="294" spans="1:53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</row>
    <row r="295" spans="1:53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</row>
    <row r="296" spans="1:53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</row>
    <row r="297" spans="1:53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</row>
    <row r="298" spans="1:53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</row>
    <row r="299" spans="1:53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</row>
    <row r="300" spans="1:53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</row>
    <row r="301" spans="1:53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</row>
    <row r="302" spans="1:53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</row>
    <row r="303" spans="1:53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</row>
    <row r="304" spans="1:53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</row>
    <row r="305" spans="1:53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</row>
    <row r="306" spans="1:53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</row>
    <row r="307" spans="1:53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</row>
    <row r="308" spans="1:53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</row>
    <row r="309" spans="1:53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</row>
    <row r="310" spans="1:53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</row>
    <row r="311" spans="1:53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</row>
    <row r="312" spans="1:53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</row>
    <row r="313" spans="1:53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</row>
    <row r="314" spans="1:53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</row>
    <row r="315" spans="1:53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</row>
    <row r="316" spans="1:53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</row>
    <row r="317" spans="1:53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</row>
    <row r="318" spans="1:53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</row>
    <row r="319" spans="1:53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</row>
    <row r="320" spans="1:53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</row>
    <row r="321" spans="1:53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</row>
    <row r="322" spans="1:53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</row>
    <row r="323" spans="1:53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</row>
    <row r="324" spans="1:53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</row>
    <row r="325" spans="1:53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</row>
    <row r="326" spans="1:53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</row>
    <row r="327" spans="1:53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</row>
    <row r="328" spans="1:53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</row>
    <row r="329" spans="1:53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</row>
    <row r="330" spans="1:53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</row>
    <row r="331" spans="1:53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</row>
    <row r="332" spans="1:53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</row>
    <row r="333" spans="1:53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</row>
    <row r="334" spans="1:53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</row>
    <row r="335" spans="1:53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</row>
    <row r="336" spans="1:53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</row>
    <row r="337" spans="1:53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</row>
    <row r="338" spans="1:53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</row>
    <row r="339" spans="1:53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</row>
    <row r="340" spans="1:53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</row>
    <row r="341" spans="1:53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</row>
    <row r="342" spans="1:53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</row>
    <row r="343" spans="1:53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</row>
    <row r="344" spans="1:53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</row>
    <row r="345" spans="1:53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</row>
    <row r="346" spans="1:53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</row>
    <row r="347" spans="1:53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</row>
    <row r="348" spans="1:53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</row>
    <row r="349" spans="1:53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</row>
    <row r="350" spans="1:53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</row>
    <row r="351" spans="1:53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</row>
    <row r="352" spans="1:53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</row>
    <row r="353" spans="1:53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</row>
    <row r="354" spans="1:53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</row>
    <row r="355" spans="1:53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</row>
    <row r="356" spans="1:53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</row>
    <row r="357" spans="1:53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</row>
    <row r="358" spans="1:53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</row>
    <row r="359" spans="1:53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</row>
    <row r="360" spans="1:53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</row>
    <row r="361" spans="1:53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</row>
    <row r="362" spans="1:53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</row>
    <row r="363" spans="1:53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</row>
    <row r="364" spans="1:53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</row>
    <row r="365" spans="1:53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</row>
    <row r="366" spans="1:53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</row>
    <row r="367" spans="1:53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</row>
    <row r="368" spans="1:53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</row>
    <row r="369" spans="1:53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</row>
    <row r="370" spans="1:53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</row>
    <row r="371" spans="1:53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</row>
    <row r="372" spans="1:53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</row>
    <row r="373" spans="1:53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</row>
    <row r="374" spans="1:53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</row>
    <row r="375" spans="1:53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</row>
    <row r="376" spans="1:53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</row>
    <row r="377" spans="1:53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</row>
    <row r="378" spans="1:53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</row>
    <row r="379" spans="1:53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</row>
    <row r="380" spans="1:53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</row>
    <row r="381" spans="1:53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</row>
    <row r="382" spans="1:53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</row>
    <row r="383" spans="1:53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</row>
    <row r="384" spans="1:53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</row>
    <row r="385" spans="1:53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</row>
    <row r="386" spans="1:53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</row>
    <row r="387" spans="1:53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</row>
    <row r="388" spans="1:53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</row>
    <row r="389" spans="1:53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</row>
    <row r="390" spans="1:53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</row>
    <row r="391" spans="1:53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</row>
    <row r="392" spans="1:53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</row>
    <row r="393" spans="1:53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</row>
    <row r="394" spans="1:53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</row>
    <row r="395" spans="1:53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</row>
    <row r="396" spans="1:53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</row>
    <row r="397" spans="1:53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</row>
    <row r="398" spans="1:53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</row>
    <row r="399" spans="1:53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</row>
    <row r="400" spans="1:53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</row>
    <row r="401" spans="1:53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</row>
    <row r="402" spans="1:53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</row>
    <row r="403" spans="1:53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</row>
    <row r="404" spans="1:53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</row>
    <row r="405" spans="1:53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</row>
    <row r="406" spans="1:53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</row>
    <row r="407" spans="1:53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</row>
    <row r="408" spans="1:53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</row>
    <row r="409" spans="1:53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</row>
    <row r="410" spans="1:53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</row>
    <row r="411" spans="1:53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</row>
    <row r="412" spans="1:53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</row>
    <row r="413" spans="1:53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</row>
    <row r="414" spans="1:53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</row>
    <row r="415" spans="1:53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</row>
    <row r="416" spans="1:53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</row>
    <row r="417" spans="1:53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</row>
    <row r="418" spans="1:53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</row>
    <row r="419" spans="1:53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</row>
    <row r="420" spans="1:53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</row>
    <row r="421" spans="1:53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</row>
    <row r="422" spans="1:53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</row>
    <row r="423" spans="1:53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</row>
    <row r="424" spans="1:53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</row>
    <row r="425" spans="1:53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</row>
    <row r="426" spans="1:53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</row>
    <row r="427" spans="1:53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</row>
    <row r="428" spans="1:53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</row>
    <row r="429" spans="1:53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</row>
    <row r="430" spans="1:53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</row>
    <row r="431" spans="1:53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</row>
    <row r="432" spans="1:53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</row>
    <row r="433" spans="1:53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</row>
    <row r="434" spans="1:53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</row>
    <row r="435" spans="1:53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</row>
    <row r="436" spans="1:53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</row>
    <row r="437" spans="1:53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</row>
    <row r="438" spans="1:53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</row>
    <row r="439" spans="1:53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</row>
    <row r="440" spans="1:53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</row>
    <row r="441" spans="1:53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</row>
    <row r="442" spans="1:53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</row>
    <row r="443" spans="1:53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</row>
    <row r="444" spans="1:53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</row>
    <row r="445" spans="1:53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</row>
    <row r="446" spans="1:53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</row>
    <row r="447" spans="1:53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</row>
    <row r="448" spans="1:53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</row>
    <row r="449" spans="1:53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</row>
    <row r="450" spans="1:53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</row>
    <row r="451" spans="1:53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</row>
    <row r="452" spans="1:53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</row>
    <row r="453" spans="1:53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</row>
    <row r="454" spans="1:53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</row>
    <row r="455" spans="1:53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</row>
    <row r="456" spans="1:53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</row>
    <row r="457" spans="1:53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</row>
    <row r="458" spans="1:53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</row>
    <row r="459" spans="1:53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</row>
    <row r="460" spans="1:53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</row>
    <row r="461" spans="1:53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</row>
    <row r="462" spans="1:53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</row>
    <row r="463" spans="1:53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</row>
    <row r="464" spans="1:53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</row>
    <row r="465" spans="1:53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</row>
    <row r="466" spans="1:53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</row>
    <row r="467" spans="1:53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</row>
    <row r="468" spans="1:53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</row>
    <row r="469" spans="1:53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</row>
    <row r="470" spans="1:53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</row>
    <row r="471" spans="1:53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</row>
    <row r="472" spans="1:53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</row>
  </sheetData>
  <mergeCells count="3">
    <mergeCell ref="B2:F2"/>
    <mergeCell ref="B4:G4"/>
    <mergeCell ref="H12:J12"/>
  </mergeCells>
  <conditionalFormatting sqref="H9:W9">
    <cfRule type="expression" dxfId="11" priority="37">
      <formula>H7&lt;=$D$12</formula>
    </cfRule>
    <cfRule type="expression" dxfId="10" priority="38">
      <formula>H7&gt;$D$12</formula>
    </cfRule>
  </conditionalFormatting>
  <conditionalFormatting sqref="H13:W13">
    <cfRule type="expression" dxfId="9" priority="39">
      <formula>H7&gt;$D$12</formula>
    </cfRule>
    <cfRule type="expression" dxfId="8" priority="40">
      <formula>H7&gt;$D$12</formula>
    </cfRule>
  </conditionalFormatting>
  <conditionalFormatting sqref="H54 X54 AB54 AR54">
    <cfRule type="expression" dxfId="7" priority="42">
      <formula>AND(#REF!=$D$18+$D$9, I$17=$D$17+$D$9)</formula>
    </cfRule>
  </conditionalFormatting>
  <conditionalFormatting sqref="H17:X33 AB17:AR33 H38:X40 AB38:AR40 H41:H53 J41:X53 AB41:AB53 AD41:AR53 I41:I54 AC41:AC54 J54:W54 AD54:AQ54">
    <cfRule type="expression" dxfId="6" priority="46">
      <formula>AND($H18=$D$18+$D$9, I$17=$D$17+$D$9)</formula>
    </cfRule>
  </conditionalFormatting>
  <dataValidations disablePrompts="1" count="2">
    <dataValidation type="list" allowBlank="1" showInputMessage="1" showErrorMessage="1" sqref="G35" xr:uid="{E23E43A5-0E8B-420C-9D14-E7DFE651DB37}">
      <formula1>"1,2,4,Cont"</formula1>
    </dataValidation>
    <dataValidation type="list" allowBlank="1" showInputMessage="1" showErrorMessage="1" sqref="D8" xr:uid="{66CA0F39-6A66-45D6-B961-DE7C77036FEF}">
      <formula1>"1,2,4,Continuous"</formula1>
    </dataValidation>
  </dataValidations>
  <hyperlinks>
    <hyperlink ref="H12" location="'Rate and discount'!B27" display="'Rate and discount'!B27" xr:uid="{D7933409-45B0-41F6-B886-353E97B7758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B920-E18A-4B32-A159-3BE26425198B}">
  <sheetPr codeName="Sheet9"/>
  <dimension ref="A1:BA111"/>
  <sheetViews>
    <sheetView topLeftCell="A36" workbookViewId="0">
      <selection activeCell="J76" sqref="J76"/>
    </sheetView>
  </sheetViews>
  <sheetFormatPr defaultRowHeight="15" x14ac:dyDescent="0.25"/>
  <sheetData>
    <row r="1" spans="1:5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ht="20.25" thickBot="1" x14ac:dyDescent="0.35">
      <c r="A2" s="1"/>
      <c r="B2" s="150" t="s">
        <v>174</v>
      </c>
      <c r="C2" s="150"/>
      <c r="D2" s="150"/>
      <c r="E2" s="150"/>
      <c r="F2" s="150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ht="15.75" thickTop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ht="18" thickBot="1" x14ac:dyDescent="0.35">
      <c r="A4" s="1"/>
      <c r="B4" s="144" t="s">
        <v>175</v>
      </c>
      <c r="C4" s="144"/>
      <c r="D4" s="144"/>
      <c r="E4" s="144"/>
      <c r="F4" s="144"/>
      <c r="G4" s="144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ht="15.75" thickTop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.75" thickBot="1" x14ac:dyDescent="0.3">
      <c r="A6" s="1"/>
      <c r="B6" s="1" t="s">
        <v>3</v>
      </c>
      <c r="C6" s="1"/>
      <c r="D6" s="1"/>
      <c r="E6" s="1"/>
      <c r="F6" s="1" t="s">
        <v>15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B7" s="8" t="s">
        <v>19</v>
      </c>
      <c r="C7" s="9" t="s">
        <v>5</v>
      </c>
      <c r="D7" s="21">
        <v>5000000</v>
      </c>
      <c r="E7" s="1"/>
      <c r="F7" s="8" t="s">
        <v>21</v>
      </c>
      <c r="G7" s="9">
        <v>0</v>
      </c>
      <c r="H7" s="9">
        <v>1</v>
      </c>
      <c r="I7" s="9">
        <v>2</v>
      </c>
      <c r="J7" s="9">
        <v>3</v>
      </c>
      <c r="K7" s="9">
        <v>4</v>
      </c>
      <c r="L7" s="9">
        <v>5</v>
      </c>
      <c r="M7" s="9">
        <v>6</v>
      </c>
      <c r="N7" s="9">
        <v>7</v>
      </c>
      <c r="O7" s="9">
        <v>8</v>
      </c>
      <c r="P7" s="9">
        <v>9</v>
      </c>
      <c r="Q7" s="9">
        <v>10</v>
      </c>
      <c r="R7" s="9">
        <v>11</v>
      </c>
      <c r="S7" s="9">
        <v>12</v>
      </c>
      <c r="T7" s="9">
        <v>13</v>
      </c>
      <c r="U7" s="9">
        <v>14</v>
      </c>
      <c r="V7" s="9">
        <v>15</v>
      </c>
      <c r="W7" s="10">
        <v>16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B8" s="11" t="s">
        <v>8</v>
      </c>
      <c r="C8" s="1" t="s">
        <v>9</v>
      </c>
      <c r="D8" s="23">
        <v>2</v>
      </c>
      <c r="E8" s="1"/>
      <c r="F8" s="11" t="s">
        <v>22</v>
      </c>
      <c r="G8" s="1"/>
      <c r="H8" s="1" cm="1">
        <f t="array" ref="H8">IF(TYPE($D$9)=1, $D$9*H7, Cont)</f>
        <v>0.5</v>
      </c>
      <c r="I8" s="1" cm="1">
        <f t="array" ref="I8">IF(TYPE($D$9)=1, $D$9*I7, Cont)</f>
        <v>1</v>
      </c>
      <c r="J8" s="1" cm="1">
        <f t="array" ref="J8">IF(TYPE($D$9)=1, $D$9*J7, Cont)</f>
        <v>1.5</v>
      </c>
      <c r="K8" s="1" cm="1">
        <f t="array" ref="K8">IF(TYPE($D$9)=1, $D$9*K7, Cont)</f>
        <v>2</v>
      </c>
      <c r="L8" s="1" cm="1">
        <f t="array" ref="L8">IF(TYPE($D$9)=1, $D$9*L7, Cont)</f>
        <v>2.5</v>
      </c>
      <c r="M8" s="1" cm="1">
        <f t="array" ref="M8">IF(TYPE($D$9)=1, $D$9*M7, Cont)</f>
        <v>3</v>
      </c>
      <c r="N8" s="1" cm="1">
        <f t="array" ref="N8">IF(TYPE($D$9)=1, $D$9*N7, Cont)</f>
        <v>3.5</v>
      </c>
      <c r="O8" s="1" cm="1">
        <f t="array" ref="O8">IF(TYPE($D$9)=1, $D$9*O7, Cont)</f>
        <v>4</v>
      </c>
      <c r="P8" s="1" cm="1">
        <f t="array" ref="P8">IF(TYPE($D$9)=1, $D$9*P7, Cont)</f>
        <v>4.5</v>
      </c>
      <c r="Q8" s="1" cm="1">
        <f t="array" ref="Q8">IF(TYPE($D$9)=1, $D$9*Q7, Cont)</f>
        <v>5</v>
      </c>
      <c r="R8" s="1" cm="1">
        <f t="array" ref="R8">IF(TYPE($D$9)=1, $D$9*R7, Cont)</f>
        <v>5.5</v>
      </c>
      <c r="S8" s="1" cm="1">
        <f t="array" ref="S8">IF(TYPE($D$9)=1, $D$9*S7, Cont)</f>
        <v>6</v>
      </c>
      <c r="T8" s="1" cm="1">
        <f t="array" ref="T8">IF(TYPE($D$9)=1, $D$9*T7, Cont)</f>
        <v>6.5</v>
      </c>
      <c r="U8" s="1" cm="1">
        <f t="array" ref="U8">IF(TYPE($D$9)=1, $D$9*U7, Cont)</f>
        <v>7</v>
      </c>
      <c r="V8" s="1" cm="1">
        <f t="array" ref="V8">IF(TYPE($D$9)=1, $D$9*V7, Cont)</f>
        <v>7.5</v>
      </c>
      <c r="W8" s="12" cm="1">
        <f t="array" ref="W8">IF(TYPE($D$9)=1, $D$9*W7, Cont)</f>
        <v>8</v>
      </c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ht="15.75" thickBot="1" x14ac:dyDescent="0.3">
      <c r="A9" s="1"/>
      <c r="B9" s="11" t="s">
        <v>20</v>
      </c>
      <c r="C9" s="15" t="s">
        <v>11</v>
      </c>
      <c r="D9" s="54">
        <f>1/D8</f>
        <v>0.5</v>
      </c>
      <c r="E9" s="1"/>
      <c r="F9" s="13" t="s">
        <v>91</v>
      </c>
      <c r="G9" s="72">
        <v>1</v>
      </c>
      <c r="H9" s="70">
        <v>0.98509999999999998</v>
      </c>
      <c r="I9" s="70">
        <v>0.96950000000000003</v>
      </c>
      <c r="J9" s="70">
        <v>0.95740000000000003</v>
      </c>
      <c r="K9" s="70">
        <v>0.94550000000000001</v>
      </c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B10" s="11" t="s">
        <v>156</v>
      </c>
      <c r="C10" s="1"/>
      <c r="D10" s="129">
        <v>0.12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1" t="s">
        <v>157</v>
      </c>
      <c r="C11" s="1" t="s">
        <v>161</v>
      </c>
      <c r="D11" s="129">
        <v>2.8572761453836453E-2</v>
      </c>
      <c r="E11" s="1"/>
      <c r="F11" s="1" t="s">
        <v>99</v>
      </c>
      <c r="G11" s="1"/>
      <c r="H11" s="18">
        <v>0</v>
      </c>
      <c r="I11" s="1" t="s">
        <v>14</v>
      </c>
      <c r="J11" s="27" t="s">
        <v>158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ht="15.75" thickBot="1" x14ac:dyDescent="0.3">
      <c r="A12" s="1"/>
      <c r="B12" s="11" t="s">
        <v>61</v>
      </c>
      <c r="C12" s="1"/>
      <c r="D12" s="24">
        <v>4</v>
      </c>
      <c r="E12" s="1"/>
      <c r="F12" s="1" t="s">
        <v>104</v>
      </c>
      <c r="G12" s="1"/>
      <c r="H12" s="151" t="s">
        <v>100</v>
      </c>
      <c r="I12" s="151"/>
      <c r="J12" s="15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ht="15.75" thickBot="1" x14ac:dyDescent="0.3">
      <c r="A13" s="1"/>
      <c r="B13" s="13" t="s">
        <v>185</v>
      </c>
      <c r="C13" s="14"/>
      <c r="D13" s="25">
        <v>3</v>
      </c>
      <c r="E13" s="1"/>
      <c r="F13" s="43" t="s">
        <v>64</v>
      </c>
      <c r="G13" s="121">
        <v>1</v>
      </c>
      <c r="H13" s="121">
        <f>IF(H9&gt;0, ($H$11/360/$D$9)*G9+(($D$9-($H$11/360))/$D$9)*H9, 0)</f>
        <v>0.98509999999999998</v>
      </c>
      <c r="I13" s="121">
        <f t="shared" ref="I13:W13" si="0">IF(I9&gt;0, ($H$11/360/$D$9)*H9+(($D$9-($H$11/360))/$D$9)*I9, 0)</f>
        <v>0.96950000000000003</v>
      </c>
      <c r="J13" s="121">
        <f t="shared" si="0"/>
        <v>0.95740000000000003</v>
      </c>
      <c r="K13" s="121">
        <f t="shared" si="0"/>
        <v>0.94550000000000001</v>
      </c>
      <c r="L13" s="120">
        <f t="shared" si="0"/>
        <v>0</v>
      </c>
      <c r="M13" s="120">
        <f t="shared" si="0"/>
        <v>0</v>
      </c>
      <c r="N13" s="120">
        <f t="shared" si="0"/>
        <v>0</v>
      </c>
      <c r="O13" s="120">
        <f t="shared" si="0"/>
        <v>0</v>
      </c>
      <c r="P13" s="120">
        <f t="shared" si="0"/>
        <v>0</v>
      </c>
      <c r="Q13" s="120">
        <f t="shared" si="0"/>
        <v>0</v>
      </c>
      <c r="R13" s="120">
        <f t="shared" si="0"/>
        <v>0</v>
      </c>
      <c r="S13" s="120">
        <f t="shared" si="0"/>
        <v>0</v>
      </c>
      <c r="T13" s="120">
        <f t="shared" si="0"/>
        <v>0</v>
      </c>
      <c r="U13" s="120">
        <f t="shared" si="0"/>
        <v>0</v>
      </c>
      <c r="V13" s="120">
        <f t="shared" si="0"/>
        <v>0</v>
      </c>
      <c r="W13" s="120">
        <f t="shared" si="0"/>
        <v>0</v>
      </c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8" t="s">
        <v>103</v>
      </c>
      <c r="C16" s="9"/>
      <c r="D16" s="138" t="s">
        <v>191</v>
      </c>
      <c r="E16" s="1"/>
      <c r="F16" s="89" t="s">
        <v>92</v>
      </c>
      <c r="G16" s="9" t="s">
        <v>93</v>
      </c>
      <c r="H16" s="78">
        <v>1</v>
      </c>
      <c r="I16" s="78" cm="1">
        <f t="array" ref="I16:X16">H9:W9</f>
        <v>0.98509999999999998</v>
      </c>
      <c r="J16" s="78">
        <v>0.96950000000000003</v>
      </c>
      <c r="K16" s="78">
        <v>0.95740000000000003</v>
      </c>
      <c r="L16" s="78">
        <v>0.94550000000000001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9">
        <v>0</v>
      </c>
      <c r="Y16" s="1"/>
      <c r="Z16" s="89" t="s">
        <v>101</v>
      </c>
      <c r="AA16" s="9" t="s">
        <v>93</v>
      </c>
      <c r="AB16" s="78">
        <v>1</v>
      </c>
      <c r="AC16" s="78">
        <f>H13</f>
        <v>0.98509999999999998</v>
      </c>
      <c r="AD16" s="78">
        <f t="shared" ref="AD16:AR16" si="1">I13</f>
        <v>0.96950000000000003</v>
      </c>
      <c r="AE16" s="78">
        <f t="shared" si="1"/>
        <v>0.95740000000000003</v>
      </c>
      <c r="AF16" s="78">
        <f t="shared" si="1"/>
        <v>0.94550000000000001</v>
      </c>
      <c r="AG16" s="78">
        <f t="shared" si="1"/>
        <v>0</v>
      </c>
      <c r="AH16" s="78">
        <f t="shared" si="1"/>
        <v>0</v>
      </c>
      <c r="AI16" s="78">
        <f t="shared" si="1"/>
        <v>0</v>
      </c>
      <c r="AJ16" s="78">
        <f t="shared" si="1"/>
        <v>0</v>
      </c>
      <c r="AK16" s="78">
        <f t="shared" si="1"/>
        <v>0</v>
      </c>
      <c r="AL16" s="78">
        <f t="shared" si="1"/>
        <v>0</v>
      </c>
      <c r="AM16" s="78">
        <f t="shared" si="1"/>
        <v>0</v>
      </c>
      <c r="AN16" s="78">
        <f t="shared" si="1"/>
        <v>0</v>
      </c>
      <c r="AO16" s="78">
        <f t="shared" si="1"/>
        <v>0</v>
      </c>
      <c r="AP16" s="78">
        <f t="shared" si="1"/>
        <v>0</v>
      </c>
      <c r="AQ16" s="78">
        <f t="shared" si="1"/>
        <v>0</v>
      </c>
      <c r="AR16" s="79">
        <f t="shared" si="1"/>
        <v>0</v>
      </c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1" t="s">
        <v>186</v>
      </c>
      <c r="C17" s="1"/>
      <c r="D17" s="24">
        <v>1</v>
      </c>
      <c r="E17" s="1"/>
      <c r="F17" s="5" t="s">
        <v>94</v>
      </c>
      <c r="G17" s="77">
        <v>1</v>
      </c>
      <c r="H17" s="53">
        <f t="shared" ref="H17:X17" si="2">G8</f>
        <v>0</v>
      </c>
      <c r="I17" s="53">
        <f t="shared" si="2"/>
        <v>0.5</v>
      </c>
      <c r="J17" s="53">
        <f t="shared" si="2"/>
        <v>1</v>
      </c>
      <c r="K17" s="53">
        <f t="shared" si="2"/>
        <v>1.5</v>
      </c>
      <c r="L17" s="53">
        <f t="shared" si="2"/>
        <v>2</v>
      </c>
      <c r="M17" s="53">
        <f t="shared" si="2"/>
        <v>2.5</v>
      </c>
      <c r="N17" s="53">
        <f t="shared" si="2"/>
        <v>3</v>
      </c>
      <c r="O17" s="53">
        <f t="shared" si="2"/>
        <v>3.5</v>
      </c>
      <c r="P17" s="53">
        <f t="shared" si="2"/>
        <v>4</v>
      </c>
      <c r="Q17" s="53">
        <f t="shared" si="2"/>
        <v>4.5</v>
      </c>
      <c r="R17" s="53">
        <f t="shared" si="2"/>
        <v>5</v>
      </c>
      <c r="S17" s="53">
        <f t="shared" si="2"/>
        <v>5.5</v>
      </c>
      <c r="T17" s="53">
        <f t="shared" si="2"/>
        <v>6</v>
      </c>
      <c r="U17" s="53">
        <f t="shared" si="2"/>
        <v>6.5</v>
      </c>
      <c r="V17" s="53">
        <f t="shared" si="2"/>
        <v>7</v>
      </c>
      <c r="W17" s="53">
        <f t="shared" si="2"/>
        <v>7.5</v>
      </c>
      <c r="X17" s="54">
        <f t="shared" si="2"/>
        <v>8</v>
      </c>
      <c r="Y17" s="1"/>
      <c r="Z17" s="5" t="s">
        <v>94</v>
      </c>
      <c r="AA17" s="77">
        <v>1</v>
      </c>
      <c r="AB17" s="53">
        <f>AA8</f>
        <v>0</v>
      </c>
      <c r="AC17" s="53">
        <f>H8</f>
        <v>0.5</v>
      </c>
      <c r="AD17" s="53">
        <f t="shared" ref="AD17:AR17" si="3">I8</f>
        <v>1</v>
      </c>
      <c r="AE17" s="53">
        <f t="shared" si="3"/>
        <v>1.5</v>
      </c>
      <c r="AF17" s="53">
        <f t="shared" si="3"/>
        <v>2</v>
      </c>
      <c r="AG17" s="53">
        <f t="shared" si="3"/>
        <v>2.5</v>
      </c>
      <c r="AH17" s="53">
        <f t="shared" si="3"/>
        <v>3</v>
      </c>
      <c r="AI17" s="53">
        <f t="shared" si="3"/>
        <v>3.5</v>
      </c>
      <c r="AJ17" s="53">
        <f t="shared" si="3"/>
        <v>4</v>
      </c>
      <c r="AK17" s="53">
        <f t="shared" si="3"/>
        <v>4.5</v>
      </c>
      <c r="AL17" s="53">
        <f t="shared" si="3"/>
        <v>5</v>
      </c>
      <c r="AM17" s="53">
        <f t="shared" si="3"/>
        <v>5.5</v>
      </c>
      <c r="AN17" s="53">
        <f t="shared" si="3"/>
        <v>6</v>
      </c>
      <c r="AO17" s="53">
        <f t="shared" si="3"/>
        <v>6.5</v>
      </c>
      <c r="AP17" s="53">
        <f t="shared" si="3"/>
        <v>7</v>
      </c>
      <c r="AQ17" s="53">
        <f t="shared" si="3"/>
        <v>7.5</v>
      </c>
      <c r="AR17" s="54">
        <f t="shared" si="3"/>
        <v>8</v>
      </c>
      <c r="AS17" s="1"/>
      <c r="AT17" s="1"/>
      <c r="AU17" s="1"/>
      <c r="AV17" s="1"/>
      <c r="AW17" s="1"/>
      <c r="AX17" s="1"/>
      <c r="AY17" s="1"/>
      <c r="AZ17" s="1"/>
      <c r="BA17" s="1"/>
    </row>
    <row r="18" spans="1:53" ht="15.75" thickBot="1" x14ac:dyDescent="0.3">
      <c r="A18" s="1"/>
      <c r="B18" s="13" t="s">
        <v>187</v>
      </c>
      <c r="C18" s="14"/>
      <c r="D18" s="132">
        <f>D17+D9*(D13-1)</f>
        <v>2</v>
      </c>
      <c r="E18" s="1"/>
      <c r="F18" s="11"/>
      <c r="G18" s="77">
        <f t="array" ref="G18:G33">TRANSPOSE(H9:W9)</f>
        <v>0.98509999999999998</v>
      </c>
      <c r="H18" s="53">
        <f t="array" ref="H18:H33">TRANSPOSE($I$17:$X$17)</f>
        <v>0.5</v>
      </c>
      <c r="I18" s="83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8"/>
      <c r="Y18" s="1"/>
      <c r="Z18" s="11"/>
      <c r="AA18" s="77">
        <f t="array" ref="AA18:AA33">TRANSPOSE(H13:W13)</f>
        <v>0.98509999999999998</v>
      </c>
      <c r="AB18" s="53">
        <f t="array" ref="AB18:AB33">TRANSPOSE($I$17:$X$17)</f>
        <v>0.5</v>
      </c>
      <c r="AC18" s="83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8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1"/>
      <c r="D19" s="1"/>
      <c r="E19" s="1"/>
      <c r="F19" s="5"/>
      <c r="G19" s="77">
        <v>0.96950000000000003</v>
      </c>
      <c r="H19" s="53">
        <v>1</v>
      </c>
      <c r="I19" s="81">
        <f>IF(G19&gt;0, G19/$I$16, 0)</f>
        <v>0.98416404425946613</v>
      </c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5"/>
      <c r="Y19" s="1"/>
      <c r="Z19" s="5"/>
      <c r="AA19" s="77">
        <v>0.96950000000000003</v>
      </c>
      <c r="AB19" s="53">
        <v>1</v>
      </c>
      <c r="AC19" s="81">
        <f>IF($AA19&gt;0, $AA19/AC$16, 0)</f>
        <v>0.98416404425946613</v>
      </c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5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1"/>
      <c r="D20" s="1"/>
      <c r="E20" s="1"/>
      <c r="F20" s="11"/>
      <c r="G20" s="77">
        <v>0.95740000000000003</v>
      </c>
      <c r="H20" s="53">
        <v>1.5</v>
      </c>
      <c r="I20" s="81">
        <f t="shared" ref="I20:I33" si="4">IF(G20&gt;0, G20/$I$16, 0)</f>
        <v>0.97188102730687242</v>
      </c>
      <c r="J20" s="1">
        <f>IF(G20&gt;0, G20/$J$16, 0)</f>
        <v>0.98751933986591023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5"/>
      <c r="Y20" s="1"/>
      <c r="Z20" s="11"/>
      <c r="AA20" s="77">
        <v>0.95740000000000003</v>
      </c>
      <c r="AB20" s="53">
        <v>1.5</v>
      </c>
      <c r="AC20" s="81">
        <f t="shared" ref="AC20:AQ33" si="5">IF($AA20&gt;0, $AA20/AC$16, 0)</f>
        <v>0.97188102730687242</v>
      </c>
      <c r="AD20" s="81">
        <f t="shared" si="5"/>
        <v>0.98751933986591023</v>
      </c>
      <c r="AE20" s="84"/>
      <c r="AF20" s="84"/>
      <c r="AG20" s="84"/>
      <c r="AH20" s="84"/>
      <c r="AI20" s="84"/>
      <c r="AJ20" s="84"/>
      <c r="AK20" s="84"/>
      <c r="AL20" s="84"/>
      <c r="AM20" s="84"/>
      <c r="AN20" s="84"/>
      <c r="AO20" s="84"/>
      <c r="AP20" s="84"/>
      <c r="AQ20" s="84"/>
      <c r="AR20" s="85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1"/>
      <c r="D21" s="1"/>
      <c r="E21" s="1"/>
      <c r="F21" s="11"/>
      <c r="G21" s="77">
        <v>0.94550000000000001</v>
      </c>
      <c r="H21" s="53">
        <v>2</v>
      </c>
      <c r="I21" s="81">
        <f t="shared" si="4"/>
        <v>0.95980103542787543</v>
      </c>
      <c r="J21" s="1">
        <f t="shared" ref="J21:J33" si="6">IF(G21&gt;0, G21/$J$16, 0)</f>
        <v>0.97524497163486334</v>
      </c>
      <c r="K21" s="1">
        <f>IF(G21&gt;0, G21/$K$16, 0)</f>
        <v>0.98757050344683517</v>
      </c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5"/>
      <c r="Y21" s="1"/>
      <c r="Z21" s="11"/>
      <c r="AA21" s="77">
        <v>0.94550000000000001</v>
      </c>
      <c r="AB21" s="53">
        <v>2</v>
      </c>
      <c r="AC21" s="81">
        <f t="shared" si="5"/>
        <v>0.95980103542787543</v>
      </c>
      <c r="AD21" s="81">
        <f t="shared" si="5"/>
        <v>0.97524497163486334</v>
      </c>
      <c r="AE21" s="81">
        <f t="shared" si="5"/>
        <v>0.98757050344683517</v>
      </c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5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1"/>
      <c r="D22" s="1"/>
      <c r="E22" s="1"/>
      <c r="F22" s="11"/>
      <c r="G22" s="77">
        <v>0</v>
      </c>
      <c r="H22" s="53">
        <v>2.5</v>
      </c>
      <c r="I22" s="81">
        <f t="shared" si="4"/>
        <v>0</v>
      </c>
      <c r="J22" s="1">
        <f t="shared" si="6"/>
        <v>0</v>
      </c>
      <c r="K22" s="1">
        <f t="shared" ref="K22:K33" si="7">IF(G22&gt;0, G22/$K$16, 0)</f>
        <v>0</v>
      </c>
      <c r="L22" s="1">
        <f>IF(G22&gt;0, G22/$L$16, 0)</f>
        <v>0</v>
      </c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5"/>
      <c r="Y22" s="1"/>
      <c r="Z22" s="11"/>
      <c r="AA22" s="77">
        <v>0</v>
      </c>
      <c r="AB22" s="53">
        <v>2.5</v>
      </c>
      <c r="AC22" s="81">
        <f t="shared" si="5"/>
        <v>0</v>
      </c>
      <c r="AD22" s="81">
        <f t="shared" si="5"/>
        <v>0</v>
      </c>
      <c r="AE22" s="81">
        <f t="shared" si="5"/>
        <v>0</v>
      </c>
      <c r="AF22" s="81">
        <f t="shared" si="5"/>
        <v>0</v>
      </c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5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1"/>
      <c r="D23" s="1"/>
      <c r="E23" s="1"/>
      <c r="F23" s="11"/>
      <c r="G23" s="77">
        <v>0</v>
      </c>
      <c r="H23" s="53">
        <v>3</v>
      </c>
      <c r="I23" s="81">
        <f t="shared" si="4"/>
        <v>0</v>
      </c>
      <c r="J23" s="1">
        <f t="shared" si="6"/>
        <v>0</v>
      </c>
      <c r="K23" s="1">
        <f t="shared" si="7"/>
        <v>0</v>
      </c>
      <c r="L23" s="1">
        <f t="shared" ref="L23:L33" si="8">IF(G23&gt;0, G23/$L$16, 0)</f>
        <v>0</v>
      </c>
      <c r="M23" s="1">
        <f>IF(G23&gt;0, G23/$M$16, 0)</f>
        <v>0</v>
      </c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5"/>
      <c r="Y23" s="1"/>
      <c r="Z23" s="11"/>
      <c r="AA23" s="77">
        <v>0</v>
      </c>
      <c r="AB23" s="53">
        <v>3</v>
      </c>
      <c r="AC23" s="81">
        <f t="shared" si="5"/>
        <v>0</v>
      </c>
      <c r="AD23" s="81">
        <f t="shared" si="5"/>
        <v>0</v>
      </c>
      <c r="AE23" s="81">
        <f t="shared" si="5"/>
        <v>0</v>
      </c>
      <c r="AF23" s="81">
        <f t="shared" si="5"/>
        <v>0</v>
      </c>
      <c r="AG23" s="81">
        <f t="shared" si="5"/>
        <v>0</v>
      </c>
      <c r="AH23" s="84"/>
      <c r="AI23" s="84"/>
      <c r="AJ23" s="84"/>
      <c r="AK23" s="84"/>
      <c r="AL23" s="84"/>
      <c r="AM23" s="84"/>
      <c r="AN23" s="84"/>
      <c r="AO23" s="84"/>
      <c r="AP23" s="84"/>
      <c r="AQ23" s="84"/>
      <c r="AR23" s="85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1"/>
      <c r="D24" s="1"/>
      <c r="E24" s="1"/>
      <c r="F24" s="11"/>
      <c r="G24" s="77">
        <v>0</v>
      </c>
      <c r="H24" s="53">
        <v>3.5</v>
      </c>
      <c r="I24" s="81">
        <f t="shared" si="4"/>
        <v>0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ref="M24:M33" si="9">IF(G24&gt;0, G24/$M$16, 0)</f>
        <v>0</v>
      </c>
      <c r="N24" s="1">
        <f>IF(G24&gt;0, G24/$N$16, 0)</f>
        <v>0</v>
      </c>
      <c r="O24" s="84"/>
      <c r="P24" s="84"/>
      <c r="Q24" s="84"/>
      <c r="R24" s="84"/>
      <c r="S24" s="84"/>
      <c r="T24" s="84"/>
      <c r="U24" s="84"/>
      <c r="V24" s="84"/>
      <c r="W24" s="84"/>
      <c r="X24" s="85"/>
      <c r="Y24" s="1"/>
      <c r="Z24" s="11"/>
      <c r="AA24" s="77">
        <v>0</v>
      </c>
      <c r="AB24" s="53">
        <v>3.5</v>
      </c>
      <c r="AC24" s="81">
        <f t="shared" si="5"/>
        <v>0</v>
      </c>
      <c r="AD24" s="81">
        <f t="shared" si="5"/>
        <v>0</v>
      </c>
      <c r="AE24" s="81">
        <f t="shared" si="5"/>
        <v>0</v>
      </c>
      <c r="AF24" s="81">
        <f t="shared" si="5"/>
        <v>0</v>
      </c>
      <c r="AG24" s="81">
        <f t="shared" si="5"/>
        <v>0</v>
      </c>
      <c r="AH24" s="81">
        <f t="shared" si="5"/>
        <v>0</v>
      </c>
      <c r="AI24" s="84"/>
      <c r="AJ24" s="84"/>
      <c r="AK24" s="84"/>
      <c r="AL24" s="84"/>
      <c r="AM24" s="84"/>
      <c r="AN24" s="84"/>
      <c r="AO24" s="84"/>
      <c r="AP24" s="84"/>
      <c r="AQ24" s="84"/>
      <c r="AR24" s="85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1"/>
      <c r="D25" s="1"/>
      <c r="E25" s="1"/>
      <c r="F25" s="11"/>
      <c r="G25" s="77">
        <v>0</v>
      </c>
      <c r="H25" s="53">
        <v>4</v>
      </c>
      <c r="I25" s="81">
        <f t="shared" si="4"/>
        <v>0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N25" s="1">
        <f t="shared" ref="N25:N33" si="10">IF(G25&gt;0, G25/$N$16, 0)</f>
        <v>0</v>
      </c>
      <c r="O25" s="1">
        <f>IF(G25&gt;0, G25/$O$16, 0)</f>
        <v>0</v>
      </c>
      <c r="P25" s="84"/>
      <c r="Q25" s="84"/>
      <c r="R25" s="84"/>
      <c r="S25" s="84"/>
      <c r="T25" s="84"/>
      <c r="U25" s="84"/>
      <c r="V25" s="84"/>
      <c r="W25" s="84"/>
      <c r="X25" s="85"/>
      <c r="Y25" s="1"/>
      <c r="Z25" s="11"/>
      <c r="AA25" s="77">
        <v>0</v>
      </c>
      <c r="AB25" s="53">
        <v>4</v>
      </c>
      <c r="AC25" s="81">
        <f t="shared" si="5"/>
        <v>0</v>
      </c>
      <c r="AD25" s="81">
        <f t="shared" si="5"/>
        <v>0</v>
      </c>
      <c r="AE25" s="81">
        <f t="shared" si="5"/>
        <v>0</v>
      </c>
      <c r="AF25" s="81">
        <f t="shared" si="5"/>
        <v>0</v>
      </c>
      <c r="AG25" s="81">
        <f t="shared" si="5"/>
        <v>0</v>
      </c>
      <c r="AH25" s="81">
        <f t="shared" si="5"/>
        <v>0</v>
      </c>
      <c r="AI25" s="81">
        <f t="shared" si="5"/>
        <v>0</v>
      </c>
      <c r="AJ25" s="84"/>
      <c r="AK25" s="84"/>
      <c r="AL25" s="84"/>
      <c r="AM25" s="84"/>
      <c r="AN25" s="84"/>
      <c r="AO25" s="84"/>
      <c r="AP25" s="84"/>
      <c r="AQ25" s="84"/>
      <c r="AR25" s="85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1"/>
      <c r="D26" s="1"/>
      <c r="E26" s="1"/>
      <c r="F26" s="11"/>
      <c r="G26" s="77">
        <v>0</v>
      </c>
      <c r="H26" s="53">
        <v>4.5</v>
      </c>
      <c r="I26" s="81">
        <f t="shared" si="4"/>
        <v>0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N26" s="1">
        <f t="shared" si="10"/>
        <v>0</v>
      </c>
      <c r="O26" s="1">
        <f t="shared" ref="O26:O33" si="11">IF(G26&gt;0, G26/$O$16, 0)</f>
        <v>0</v>
      </c>
      <c r="P26" s="1">
        <f>IF(G26&gt;0, G26/$P$16, 0)</f>
        <v>0</v>
      </c>
      <c r="Q26" s="84"/>
      <c r="R26" s="84"/>
      <c r="S26" s="84"/>
      <c r="T26" s="84"/>
      <c r="U26" s="84"/>
      <c r="V26" s="84"/>
      <c r="W26" s="84"/>
      <c r="X26" s="85"/>
      <c r="Y26" s="1"/>
      <c r="Z26" s="11"/>
      <c r="AA26" s="77">
        <v>0</v>
      </c>
      <c r="AB26" s="53">
        <v>4.5</v>
      </c>
      <c r="AC26" s="81">
        <f t="shared" si="5"/>
        <v>0</v>
      </c>
      <c r="AD26" s="81">
        <f t="shared" si="5"/>
        <v>0</v>
      </c>
      <c r="AE26" s="81">
        <f t="shared" si="5"/>
        <v>0</v>
      </c>
      <c r="AF26" s="81">
        <f t="shared" si="5"/>
        <v>0</v>
      </c>
      <c r="AG26" s="81">
        <f t="shared" si="5"/>
        <v>0</v>
      </c>
      <c r="AH26" s="81">
        <f t="shared" si="5"/>
        <v>0</v>
      </c>
      <c r="AI26" s="81">
        <f t="shared" si="5"/>
        <v>0</v>
      </c>
      <c r="AJ26" s="81">
        <f t="shared" si="5"/>
        <v>0</v>
      </c>
      <c r="AK26" s="84"/>
      <c r="AL26" s="84"/>
      <c r="AM26" s="84"/>
      <c r="AN26" s="84"/>
      <c r="AO26" s="84"/>
      <c r="AP26" s="84"/>
      <c r="AQ26" s="84"/>
      <c r="AR26" s="85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1"/>
      <c r="D27" s="1"/>
      <c r="E27" s="1"/>
      <c r="F27" s="11"/>
      <c r="G27" s="77">
        <v>0</v>
      </c>
      <c r="H27" s="53">
        <v>5</v>
      </c>
      <c r="I27" s="81">
        <f t="shared" si="4"/>
        <v>0</v>
      </c>
      <c r="J27" s="1">
        <f t="shared" si="6"/>
        <v>0</v>
      </c>
      <c r="K27" s="1">
        <f t="shared" si="7"/>
        <v>0</v>
      </c>
      <c r="L27" s="1">
        <f t="shared" si="8"/>
        <v>0</v>
      </c>
      <c r="M27" s="1">
        <f t="shared" si="9"/>
        <v>0</v>
      </c>
      <c r="N27" s="1">
        <f t="shared" si="10"/>
        <v>0</v>
      </c>
      <c r="O27" s="1">
        <f t="shared" si="11"/>
        <v>0</v>
      </c>
      <c r="P27" s="1">
        <f t="shared" ref="P27:P33" si="12">IF(G27&gt;0, G27/$P$16, 0)</f>
        <v>0</v>
      </c>
      <c r="Q27" s="1">
        <f>IF(G27&gt;0, G27/$Q$16, 0)</f>
        <v>0</v>
      </c>
      <c r="R27" s="84"/>
      <c r="S27" s="84"/>
      <c r="T27" s="84"/>
      <c r="U27" s="84"/>
      <c r="V27" s="84"/>
      <c r="W27" s="84"/>
      <c r="X27" s="85"/>
      <c r="Y27" s="1"/>
      <c r="Z27" s="11"/>
      <c r="AA27" s="77">
        <v>0</v>
      </c>
      <c r="AB27" s="53">
        <v>5</v>
      </c>
      <c r="AC27" s="81">
        <f t="shared" si="5"/>
        <v>0</v>
      </c>
      <c r="AD27" s="81">
        <f t="shared" si="5"/>
        <v>0</v>
      </c>
      <c r="AE27" s="81">
        <f t="shared" si="5"/>
        <v>0</v>
      </c>
      <c r="AF27" s="81">
        <f t="shared" si="5"/>
        <v>0</v>
      </c>
      <c r="AG27" s="81">
        <f t="shared" si="5"/>
        <v>0</v>
      </c>
      <c r="AH27" s="81">
        <f t="shared" si="5"/>
        <v>0</v>
      </c>
      <c r="AI27" s="81">
        <f t="shared" si="5"/>
        <v>0</v>
      </c>
      <c r="AJ27" s="81">
        <f t="shared" si="5"/>
        <v>0</v>
      </c>
      <c r="AK27" s="81">
        <f t="shared" si="5"/>
        <v>0</v>
      </c>
      <c r="AL27" s="84"/>
      <c r="AM27" s="84"/>
      <c r="AN27" s="84"/>
      <c r="AO27" s="84"/>
      <c r="AP27" s="84"/>
      <c r="AQ27" s="84"/>
      <c r="AR27" s="85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1"/>
      <c r="D28" s="1"/>
      <c r="E28" s="1"/>
      <c r="F28" s="11"/>
      <c r="G28" s="77">
        <v>0</v>
      </c>
      <c r="H28" s="53">
        <v>5.5</v>
      </c>
      <c r="I28" s="81">
        <f t="shared" si="4"/>
        <v>0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N28" s="1">
        <f t="shared" si="10"/>
        <v>0</v>
      </c>
      <c r="O28" s="1">
        <f t="shared" si="11"/>
        <v>0</v>
      </c>
      <c r="P28" s="1">
        <f t="shared" si="12"/>
        <v>0</v>
      </c>
      <c r="Q28" s="1">
        <f t="shared" ref="Q28:Q33" si="13">IF(G28&gt;0, G28/$Q$16, 0)</f>
        <v>0</v>
      </c>
      <c r="R28" s="1">
        <f>IF(G28&gt;0, G28/$R$16, 0)</f>
        <v>0</v>
      </c>
      <c r="S28" s="84"/>
      <c r="T28" s="84"/>
      <c r="U28" s="84"/>
      <c r="V28" s="84"/>
      <c r="W28" s="84"/>
      <c r="X28" s="85"/>
      <c r="Y28" s="1"/>
      <c r="Z28" s="11"/>
      <c r="AA28" s="77">
        <v>0</v>
      </c>
      <c r="AB28" s="53">
        <v>5.5</v>
      </c>
      <c r="AC28" s="81">
        <f t="shared" si="5"/>
        <v>0</v>
      </c>
      <c r="AD28" s="81">
        <f t="shared" si="5"/>
        <v>0</v>
      </c>
      <c r="AE28" s="81">
        <f t="shared" si="5"/>
        <v>0</v>
      </c>
      <c r="AF28" s="81">
        <f t="shared" si="5"/>
        <v>0</v>
      </c>
      <c r="AG28" s="81">
        <f t="shared" si="5"/>
        <v>0</v>
      </c>
      <c r="AH28" s="81">
        <f t="shared" si="5"/>
        <v>0</v>
      </c>
      <c r="AI28" s="81">
        <f t="shared" si="5"/>
        <v>0</v>
      </c>
      <c r="AJ28" s="81">
        <f t="shared" si="5"/>
        <v>0</v>
      </c>
      <c r="AK28" s="81">
        <f t="shared" si="5"/>
        <v>0</v>
      </c>
      <c r="AL28" s="81">
        <f t="shared" si="5"/>
        <v>0</v>
      </c>
      <c r="AM28" s="84"/>
      <c r="AN28" s="84"/>
      <c r="AO28" s="84"/>
      <c r="AP28" s="84"/>
      <c r="AQ28" s="84"/>
      <c r="AR28" s="85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1"/>
      <c r="D29" s="1"/>
      <c r="E29" s="1"/>
      <c r="F29" s="11"/>
      <c r="G29" s="77">
        <v>0</v>
      </c>
      <c r="H29" s="53">
        <v>6</v>
      </c>
      <c r="I29" s="81">
        <f t="shared" si="4"/>
        <v>0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N29" s="1">
        <f t="shared" si="10"/>
        <v>0</v>
      </c>
      <c r="O29" s="1">
        <f t="shared" si="11"/>
        <v>0</v>
      </c>
      <c r="P29" s="1">
        <f t="shared" si="12"/>
        <v>0</v>
      </c>
      <c r="Q29" s="1">
        <f t="shared" si="13"/>
        <v>0</v>
      </c>
      <c r="R29" s="1">
        <f t="shared" ref="R29:R33" si="14">IF(G29&gt;0, G29/$R$16, 0)</f>
        <v>0</v>
      </c>
      <c r="S29" s="1">
        <f>IF(G29&gt;0, G29/$S$16, 0)</f>
        <v>0</v>
      </c>
      <c r="T29" s="84"/>
      <c r="U29" s="84"/>
      <c r="V29" s="84"/>
      <c r="W29" s="84"/>
      <c r="X29" s="85"/>
      <c r="Y29" s="1"/>
      <c r="Z29" s="11"/>
      <c r="AA29" s="77">
        <v>0</v>
      </c>
      <c r="AB29" s="53">
        <v>6</v>
      </c>
      <c r="AC29" s="81">
        <f t="shared" si="5"/>
        <v>0</v>
      </c>
      <c r="AD29" s="81">
        <f t="shared" si="5"/>
        <v>0</v>
      </c>
      <c r="AE29" s="81">
        <f t="shared" si="5"/>
        <v>0</v>
      </c>
      <c r="AF29" s="81">
        <f t="shared" si="5"/>
        <v>0</v>
      </c>
      <c r="AG29" s="81">
        <f t="shared" si="5"/>
        <v>0</v>
      </c>
      <c r="AH29" s="81">
        <f t="shared" si="5"/>
        <v>0</v>
      </c>
      <c r="AI29" s="81">
        <f t="shared" si="5"/>
        <v>0</v>
      </c>
      <c r="AJ29" s="81">
        <f t="shared" si="5"/>
        <v>0</v>
      </c>
      <c r="AK29" s="81">
        <f t="shared" si="5"/>
        <v>0</v>
      </c>
      <c r="AL29" s="81">
        <f t="shared" si="5"/>
        <v>0</v>
      </c>
      <c r="AM29" s="81">
        <f t="shared" si="5"/>
        <v>0</v>
      </c>
      <c r="AN29" s="84"/>
      <c r="AO29" s="84"/>
      <c r="AP29" s="84"/>
      <c r="AQ29" s="84"/>
      <c r="AR29" s="85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1"/>
      <c r="D30" s="1"/>
      <c r="E30" s="1"/>
      <c r="F30" s="11"/>
      <c r="G30" s="77">
        <v>0</v>
      </c>
      <c r="H30" s="53">
        <v>6.5</v>
      </c>
      <c r="I30" s="81">
        <f t="shared" si="4"/>
        <v>0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N30" s="1">
        <f t="shared" si="10"/>
        <v>0</v>
      </c>
      <c r="O30" s="1">
        <f t="shared" si="11"/>
        <v>0</v>
      </c>
      <c r="P30" s="1">
        <f t="shared" si="12"/>
        <v>0</v>
      </c>
      <c r="Q30" s="1">
        <f t="shared" si="13"/>
        <v>0</v>
      </c>
      <c r="R30" s="1">
        <f t="shared" si="14"/>
        <v>0</v>
      </c>
      <c r="S30" s="1">
        <f t="shared" ref="S30:S33" si="15">IF(G30&gt;0, G30/$S$16, 0)</f>
        <v>0</v>
      </c>
      <c r="T30" s="1">
        <f>IF(G30&gt;0, G30/$T$16, 0)</f>
        <v>0</v>
      </c>
      <c r="U30" s="84"/>
      <c r="V30" s="84"/>
      <c r="W30" s="84"/>
      <c r="X30" s="85"/>
      <c r="Y30" s="1"/>
      <c r="Z30" s="11"/>
      <c r="AA30" s="77">
        <v>0</v>
      </c>
      <c r="AB30" s="53">
        <v>6.5</v>
      </c>
      <c r="AC30" s="81">
        <f t="shared" si="5"/>
        <v>0</v>
      </c>
      <c r="AD30" s="81">
        <f t="shared" si="5"/>
        <v>0</v>
      </c>
      <c r="AE30" s="81">
        <f t="shared" si="5"/>
        <v>0</v>
      </c>
      <c r="AF30" s="81">
        <f t="shared" si="5"/>
        <v>0</v>
      </c>
      <c r="AG30" s="81">
        <f t="shared" si="5"/>
        <v>0</v>
      </c>
      <c r="AH30" s="81">
        <f t="shared" si="5"/>
        <v>0</v>
      </c>
      <c r="AI30" s="81">
        <f t="shared" si="5"/>
        <v>0</v>
      </c>
      <c r="AJ30" s="81">
        <f t="shared" si="5"/>
        <v>0</v>
      </c>
      <c r="AK30" s="81">
        <f t="shared" si="5"/>
        <v>0</v>
      </c>
      <c r="AL30" s="81">
        <f t="shared" si="5"/>
        <v>0</v>
      </c>
      <c r="AM30" s="81">
        <f t="shared" si="5"/>
        <v>0</v>
      </c>
      <c r="AN30" s="81">
        <f t="shared" si="5"/>
        <v>0</v>
      </c>
      <c r="AO30" s="84"/>
      <c r="AP30" s="84"/>
      <c r="AQ30" s="84"/>
      <c r="AR30" s="85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1"/>
      <c r="D31" s="1"/>
      <c r="E31" s="1"/>
      <c r="F31" s="11"/>
      <c r="G31" s="77">
        <v>0</v>
      </c>
      <c r="H31" s="53">
        <v>7</v>
      </c>
      <c r="I31" s="81">
        <f t="shared" si="4"/>
        <v>0</v>
      </c>
      <c r="J31" s="1">
        <f t="shared" si="6"/>
        <v>0</v>
      </c>
      <c r="K31" s="1">
        <f t="shared" si="7"/>
        <v>0</v>
      </c>
      <c r="L31" s="1">
        <f t="shared" si="8"/>
        <v>0</v>
      </c>
      <c r="M31" s="1">
        <f t="shared" si="9"/>
        <v>0</v>
      </c>
      <c r="N31" s="1">
        <f t="shared" si="10"/>
        <v>0</v>
      </c>
      <c r="O31" s="1">
        <f t="shared" si="11"/>
        <v>0</v>
      </c>
      <c r="P31" s="1">
        <f t="shared" si="12"/>
        <v>0</v>
      </c>
      <c r="Q31" s="1">
        <f t="shared" si="13"/>
        <v>0</v>
      </c>
      <c r="R31" s="1">
        <f t="shared" si="14"/>
        <v>0</v>
      </c>
      <c r="S31" s="1">
        <f t="shared" si="15"/>
        <v>0</v>
      </c>
      <c r="T31" s="1">
        <f t="shared" ref="T31:T33" si="16">IF(G31&gt;0, G31/$T$16, 0)</f>
        <v>0</v>
      </c>
      <c r="U31" s="1">
        <f>IF(G31&gt;0, G31/$U$16, 0)</f>
        <v>0</v>
      </c>
      <c r="V31" s="84"/>
      <c r="W31" s="84"/>
      <c r="X31" s="85"/>
      <c r="Y31" s="1"/>
      <c r="Z31" s="11"/>
      <c r="AA31" s="77">
        <v>0</v>
      </c>
      <c r="AB31" s="53">
        <v>7</v>
      </c>
      <c r="AC31" s="81">
        <f t="shared" si="5"/>
        <v>0</v>
      </c>
      <c r="AD31" s="81">
        <f t="shared" si="5"/>
        <v>0</v>
      </c>
      <c r="AE31" s="81">
        <f t="shared" si="5"/>
        <v>0</v>
      </c>
      <c r="AF31" s="81">
        <f t="shared" si="5"/>
        <v>0</v>
      </c>
      <c r="AG31" s="81">
        <f t="shared" si="5"/>
        <v>0</v>
      </c>
      <c r="AH31" s="81">
        <f t="shared" si="5"/>
        <v>0</v>
      </c>
      <c r="AI31" s="81">
        <f t="shared" si="5"/>
        <v>0</v>
      </c>
      <c r="AJ31" s="81">
        <f t="shared" si="5"/>
        <v>0</v>
      </c>
      <c r="AK31" s="81">
        <f t="shared" si="5"/>
        <v>0</v>
      </c>
      <c r="AL31" s="81">
        <f t="shared" si="5"/>
        <v>0</v>
      </c>
      <c r="AM31" s="81">
        <f t="shared" si="5"/>
        <v>0</v>
      </c>
      <c r="AN31" s="81">
        <f t="shared" si="5"/>
        <v>0</v>
      </c>
      <c r="AO31" s="81">
        <f t="shared" si="5"/>
        <v>0</v>
      </c>
      <c r="AP31" s="84"/>
      <c r="AQ31" s="84"/>
      <c r="AR31" s="85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1"/>
      <c r="D32" s="1"/>
      <c r="E32" s="1"/>
      <c r="F32" s="11"/>
      <c r="G32" s="77">
        <v>0</v>
      </c>
      <c r="H32" s="53">
        <v>7.5</v>
      </c>
      <c r="I32" s="81">
        <f t="shared" si="4"/>
        <v>0</v>
      </c>
      <c r="J32" s="1">
        <f t="shared" si="6"/>
        <v>0</v>
      </c>
      <c r="K32" s="1">
        <f t="shared" si="7"/>
        <v>0</v>
      </c>
      <c r="L32" s="1">
        <f t="shared" si="8"/>
        <v>0</v>
      </c>
      <c r="M32" s="1">
        <f t="shared" si="9"/>
        <v>0</v>
      </c>
      <c r="N32" s="1">
        <f t="shared" si="10"/>
        <v>0</v>
      </c>
      <c r="O32" s="1">
        <f t="shared" si="11"/>
        <v>0</v>
      </c>
      <c r="P32" s="1">
        <f t="shared" si="12"/>
        <v>0</v>
      </c>
      <c r="Q32" s="1">
        <f t="shared" si="13"/>
        <v>0</v>
      </c>
      <c r="R32" s="1">
        <f t="shared" si="14"/>
        <v>0</v>
      </c>
      <c r="S32" s="1">
        <f t="shared" si="15"/>
        <v>0</v>
      </c>
      <c r="T32" s="1">
        <f t="shared" si="16"/>
        <v>0</v>
      </c>
      <c r="U32" s="1">
        <f t="shared" ref="U32:U33" si="17">IF(G32&gt;0, G32/$U$16, 0)</f>
        <v>0</v>
      </c>
      <c r="V32" s="1">
        <f>IF(G32&gt;0, G32/$V$16, 0)</f>
        <v>0</v>
      </c>
      <c r="W32" s="84"/>
      <c r="X32" s="85"/>
      <c r="Y32" s="1"/>
      <c r="Z32" s="11"/>
      <c r="AA32" s="77">
        <v>0</v>
      </c>
      <c r="AB32" s="53">
        <v>7.5</v>
      </c>
      <c r="AC32" s="81">
        <f t="shared" si="5"/>
        <v>0</v>
      </c>
      <c r="AD32" s="81">
        <f t="shared" si="5"/>
        <v>0</v>
      </c>
      <c r="AE32" s="81">
        <f t="shared" si="5"/>
        <v>0</v>
      </c>
      <c r="AF32" s="81">
        <f t="shared" si="5"/>
        <v>0</v>
      </c>
      <c r="AG32" s="81">
        <f t="shared" si="5"/>
        <v>0</v>
      </c>
      <c r="AH32" s="81">
        <f t="shared" si="5"/>
        <v>0</v>
      </c>
      <c r="AI32" s="81">
        <f t="shared" si="5"/>
        <v>0</v>
      </c>
      <c r="AJ32" s="81">
        <f t="shared" si="5"/>
        <v>0</v>
      </c>
      <c r="AK32" s="81">
        <f t="shared" si="5"/>
        <v>0</v>
      </c>
      <c r="AL32" s="81">
        <f t="shared" si="5"/>
        <v>0</v>
      </c>
      <c r="AM32" s="81">
        <f t="shared" si="5"/>
        <v>0</v>
      </c>
      <c r="AN32" s="81">
        <f t="shared" si="5"/>
        <v>0</v>
      </c>
      <c r="AO32" s="81">
        <f t="shared" si="5"/>
        <v>0</v>
      </c>
      <c r="AP32" s="81">
        <f t="shared" si="5"/>
        <v>0</v>
      </c>
      <c r="AQ32" s="84"/>
      <c r="AR32" s="85"/>
      <c r="AS32" s="1"/>
      <c r="AT32" s="1"/>
      <c r="AU32" s="1"/>
      <c r="AV32" s="1"/>
      <c r="AW32" s="1"/>
      <c r="AX32" s="1"/>
      <c r="AY32" s="1"/>
      <c r="AZ32" s="1"/>
      <c r="BA32" s="1"/>
    </row>
    <row r="33" spans="1:53" ht="15.75" thickBot="1" x14ac:dyDescent="0.3">
      <c r="A33" s="1"/>
      <c r="B33" s="1"/>
      <c r="C33" s="1"/>
      <c r="D33" s="1"/>
      <c r="E33" s="1"/>
      <c r="F33" s="13"/>
      <c r="G33" s="80">
        <v>0</v>
      </c>
      <c r="H33" s="56">
        <v>8</v>
      </c>
      <c r="I33" s="82">
        <f t="shared" si="4"/>
        <v>0</v>
      </c>
      <c r="J33" s="14">
        <f t="shared" si="6"/>
        <v>0</v>
      </c>
      <c r="K33" s="14">
        <f t="shared" si="7"/>
        <v>0</v>
      </c>
      <c r="L33" s="14">
        <f t="shared" si="8"/>
        <v>0</v>
      </c>
      <c r="M33" s="14">
        <f t="shared" si="9"/>
        <v>0</v>
      </c>
      <c r="N33" s="14">
        <f t="shared" si="10"/>
        <v>0</v>
      </c>
      <c r="O33" s="14">
        <f t="shared" si="11"/>
        <v>0</v>
      </c>
      <c r="P33" s="14">
        <f t="shared" si="12"/>
        <v>0</v>
      </c>
      <c r="Q33" s="14">
        <f t="shared" si="13"/>
        <v>0</v>
      </c>
      <c r="R33" s="14">
        <f t="shared" si="14"/>
        <v>0</v>
      </c>
      <c r="S33" s="14">
        <f t="shared" si="15"/>
        <v>0</v>
      </c>
      <c r="T33" s="14">
        <f t="shared" si="16"/>
        <v>0</v>
      </c>
      <c r="U33" s="14">
        <f t="shared" si="17"/>
        <v>0</v>
      </c>
      <c r="V33" s="14">
        <f>IF(G33&gt;0, G33/$V$16, 0)</f>
        <v>0</v>
      </c>
      <c r="W33" s="14">
        <f>IF(G33&gt;0, G33/$W$16, 0)</f>
        <v>0</v>
      </c>
      <c r="X33" s="86"/>
      <c r="Y33" s="1"/>
      <c r="Z33" s="13"/>
      <c r="AA33" s="80">
        <v>0</v>
      </c>
      <c r="AB33" s="56">
        <v>8</v>
      </c>
      <c r="AC33" s="82">
        <f t="shared" si="5"/>
        <v>0</v>
      </c>
      <c r="AD33" s="82">
        <f t="shared" si="5"/>
        <v>0</v>
      </c>
      <c r="AE33" s="82">
        <f t="shared" si="5"/>
        <v>0</v>
      </c>
      <c r="AF33" s="82">
        <f t="shared" si="5"/>
        <v>0</v>
      </c>
      <c r="AG33" s="82">
        <f t="shared" si="5"/>
        <v>0</v>
      </c>
      <c r="AH33" s="82">
        <f t="shared" si="5"/>
        <v>0</v>
      </c>
      <c r="AI33" s="82">
        <f t="shared" si="5"/>
        <v>0</v>
      </c>
      <c r="AJ33" s="82">
        <f t="shared" si="5"/>
        <v>0</v>
      </c>
      <c r="AK33" s="82">
        <f t="shared" si="5"/>
        <v>0</v>
      </c>
      <c r="AL33" s="82">
        <f t="shared" si="5"/>
        <v>0</v>
      </c>
      <c r="AM33" s="82">
        <f t="shared" si="5"/>
        <v>0</v>
      </c>
      <c r="AN33" s="82">
        <f t="shared" si="5"/>
        <v>0</v>
      </c>
      <c r="AO33" s="82">
        <f t="shared" si="5"/>
        <v>0</v>
      </c>
      <c r="AP33" s="82">
        <f t="shared" si="5"/>
        <v>0</v>
      </c>
      <c r="AQ33" s="82">
        <f t="shared" si="5"/>
        <v>0</v>
      </c>
      <c r="AR33" s="86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1"/>
      <c r="D35" s="1"/>
      <c r="E35" s="1"/>
      <c r="F35" s="1" t="s">
        <v>95</v>
      </c>
      <c r="G35" s="18">
        <v>2</v>
      </c>
      <c r="H35" s="1" t="s">
        <v>46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1"/>
      <c r="D37" s="1"/>
      <c r="E37" s="1"/>
      <c r="F37" s="89" t="s">
        <v>96</v>
      </c>
      <c r="G37" s="9" t="s">
        <v>93</v>
      </c>
      <c r="H37" s="78">
        <v>1</v>
      </c>
      <c r="I37" s="78">
        <f>H9</f>
        <v>0.98509999999999998</v>
      </c>
      <c r="J37" s="78">
        <f t="shared" ref="J37:X37" si="18">I9</f>
        <v>0.96950000000000003</v>
      </c>
      <c r="K37" s="78">
        <f t="shared" si="18"/>
        <v>0.95740000000000003</v>
      </c>
      <c r="L37" s="78">
        <f t="shared" si="18"/>
        <v>0.94550000000000001</v>
      </c>
      <c r="M37" s="78">
        <f t="shared" si="18"/>
        <v>0</v>
      </c>
      <c r="N37" s="78">
        <f t="shared" si="18"/>
        <v>0</v>
      </c>
      <c r="O37" s="78">
        <f t="shared" si="18"/>
        <v>0</v>
      </c>
      <c r="P37" s="78">
        <f t="shared" si="18"/>
        <v>0</v>
      </c>
      <c r="Q37" s="78">
        <f t="shared" si="18"/>
        <v>0</v>
      </c>
      <c r="R37" s="78">
        <f t="shared" si="18"/>
        <v>0</v>
      </c>
      <c r="S37" s="78">
        <f t="shared" si="18"/>
        <v>0</v>
      </c>
      <c r="T37" s="78">
        <f t="shared" si="18"/>
        <v>0</v>
      </c>
      <c r="U37" s="78">
        <f t="shared" si="18"/>
        <v>0</v>
      </c>
      <c r="V37" s="78">
        <f t="shared" si="18"/>
        <v>0</v>
      </c>
      <c r="W37" s="78">
        <f t="shared" si="18"/>
        <v>0</v>
      </c>
      <c r="X37" s="79">
        <f t="shared" si="18"/>
        <v>0</v>
      </c>
      <c r="Y37" s="1"/>
      <c r="Z37" s="89" t="s">
        <v>102</v>
      </c>
      <c r="AA37" s="9" t="s">
        <v>93</v>
      </c>
      <c r="AB37" s="78">
        <v>1</v>
      </c>
      <c r="AC37" s="78">
        <f>H13</f>
        <v>0.98509999999999998</v>
      </c>
      <c r="AD37" s="78">
        <f t="shared" ref="AD37:AR37" si="19">I13</f>
        <v>0.96950000000000003</v>
      </c>
      <c r="AE37" s="78">
        <f t="shared" si="19"/>
        <v>0.95740000000000003</v>
      </c>
      <c r="AF37" s="78">
        <f t="shared" si="19"/>
        <v>0.94550000000000001</v>
      </c>
      <c r="AG37" s="78">
        <f t="shared" si="19"/>
        <v>0</v>
      </c>
      <c r="AH37" s="78">
        <f t="shared" si="19"/>
        <v>0</v>
      </c>
      <c r="AI37" s="78">
        <f t="shared" si="19"/>
        <v>0</v>
      </c>
      <c r="AJ37" s="78">
        <f t="shared" si="19"/>
        <v>0</v>
      </c>
      <c r="AK37" s="78">
        <f t="shared" si="19"/>
        <v>0</v>
      </c>
      <c r="AL37" s="78">
        <f t="shared" si="19"/>
        <v>0</v>
      </c>
      <c r="AM37" s="78">
        <f t="shared" si="19"/>
        <v>0</v>
      </c>
      <c r="AN37" s="78">
        <f t="shared" si="19"/>
        <v>0</v>
      </c>
      <c r="AO37" s="78">
        <f t="shared" si="19"/>
        <v>0</v>
      </c>
      <c r="AP37" s="78">
        <f t="shared" si="19"/>
        <v>0</v>
      </c>
      <c r="AQ37" s="78">
        <f t="shared" si="19"/>
        <v>0</v>
      </c>
      <c r="AR37" s="79">
        <f t="shared" si="19"/>
        <v>0</v>
      </c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1"/>
      <c r="D38" s="1"/>
      <c r="E38" s="1"/>
      <c r="F38" s="5" t="s">
        <v>94</v>
      </c>
      <c r="G38" s="77">
        <v>1</v>
      </c>
      <c r="H38" s="53">
        <f>G27</f>
        <v>0</v>
      </c>
      <c r="I38" s="53">
        <f>H8</f>
        <v>0.5</v>
      </c>
      <c r="J38" s="53">
        <f t="shared" ref="J38:X38" si="20">I8</f>
        <v>1</v>
      </c>
      <c r="K38" s="53">
        <f t="shared" si="20"/>
        <v>1.5</v>
      </c>
      <c r="L38" s="53">
        <f t="shared" si="20"/>
        <v>2</v>
      </c>
      <c r="M38" s="53">
        <f t="shared" si="20"/>
        <v>2.5</v>
      </c>
      <c r="N38" s="53">
        <f t="shared" si="20"/>
        <v>3</v>
      </c>
      <c r="O38" s="53">
        <f t="shared" si="20"/>
        <v>3.5</v>
      </c>
      <c r="P38" s="53">
        <f t="shared" si="20"/>
        <v>4</v>
      </c>
      <c r="Q38" s="53">
        <f t="shared" si="20"/>
        <v>4.5</v>
      </c>
      <c r="R38" s="53">
        <f t="shared" si="20"/>
        <v>5</v>
      </c>
      <c r="S38" s="53">
        <f t="shared" si="20"/>
        <v>5.5</v>
      </c>
      <c r="T38" s="53">
        <f t="shared" si="20"/>
        <v>6</v>
      </c>
      <c r="U38" s="53">
        <f t="shared" si="20"/>
        <v>6.5</v>
      </c>
      <c r="V38" s="53">
        <f t="shared" si="20"/>
        <v>7</v>
      </c>
      <c r="W38" s="53">
        <f t="shared" si="20"/>
        <v>7.5</v>
      </c>
      <c r="X38" s="54">
        <f t="shared" si="20"/>
        <v>8</v>
      </c>
      <c r="Y38" s="1"/>
      <c r="Z38" s="5" t="s">
        <v>94</v>
      </c>
      <c r="AA38" s="77">
        <v>1</v>
      </c>
      <c r="AB38" s="53">
        <f>AA27</f>
        <v>0</v>
      </c>
      <c r="AC38" s="53">
        <f>AC17</f>
        <v>0.5</v>
      </c>
      <c r="AD38" s="53">
        <f t="shared" ref="AD38:AR38" si="21">AD17</f>
        <v>1</v>
      </c>
      <c r="AE38" s="53">
        <f t="shared" si="21"/>
        <v>1.5</v>
      </c>
      <c r="AF38" s="53">
        <f t="shared" si="21"/>
        <v>2</v>
      </c>
      <c r="AG38" s="53">
        <f t="shared" si="21"/>
        <v>2.5</v>
      </c>
      <c r="AH38" s="53">
        <f t="shared" si="21"/>
        <v>3</v>
      </c>
      <c r="AI38" s="53">
        <f t="shared" si="21"/>
        <v>3.5</v>
      </c>
      <c r="AJ38" s="53">
        <f t="shared" si="21"/>
        <v>4</v>
      </c>
      <c r="AK38" s="53">
        <f t="shared" si="21"/>
        <v>4.5</v>
      </c>
      <c r="AL38" s="53">
        <f t="shared" si="21"/>
        <v>5</v>
      </c>
      <c r="AM38" s="53">
        <f t="shared" si="21"/>
        <v>5.5</v>
      </c>
      <c r="AN38" s="53">
        <f t="shared" si="21"/>
        <v>6</v>
      </c>
      <c r="AO38" s="53">
        <f t="shared" si="21"/>
        <v>6.5</v>
      </c>
      <c r="AP38" s="53">
        <f t="shared" si="21"/>
        <v>7</v>
      </c>
      <c r="AQ38" s="53">
        <f t="shared" si="21"/>
        <v>7.5</v>
      </c>
      <c r="AR38" s="54">
        <f t="shared" si="21"/>
        <v>8</v>
      </c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1"/>
      <c r="D39" s="1"/>
      <c r="E39" s="1"/>
      <c r="F39" s="11"/>
      <c r="G39" s="77">
        <f t="array" ref="G39:G54">TRANSPOSE(H9:W9)</f>
        <v>0.98509999999999998</v>
      </c>
      <c r="H39" s="53">
        <f t="array" ref="H39:H54">TRANSPOSE($I$17:$X$17)</f>
        <v>0.5</v>
      </c>
      <c r="I39" s="83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8"/>
      <c r="Y39" s="1"/>
      <c r="Z39" s="11"/>
      <c r="AA39" s="77">
        <f t="array" ref="AA39:AA54">TRANSPOSE(H13:W13)</f>
        <v>0.98509999999999998</v>
      </c>
      <c r="AB39" s="53">
        <f t="array" ref="AB39:AB54">TRANSPOSE($I$17:$X$17)</f>
        <v>0.5</v>
      </c>
      <c r="AC39" s="83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8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1"/>
      <c r="D40" s="1"/>
      <c r="E40" s="1"/>
      <c r="F40" s="5"/>
      <c r="G40" s="77">
        <v>0.96950000000000003</v>
      </c>
      <c r="H40" s="53">
        <v>1</v>
      </c>
      <c r="I40" s="81">
        <f>IF(I19&gt;0, IF(TYPE($G$35)=1, $G$35 * ((I19^(-1/($G$35*($H40-I$38))))-1), -(LN(I19)/($H40-I$38))), 0)</f>
        <v>3.2181536874677619E-2</v>
      </c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5"/>
      <c r="Y40" s="1"/>
      <c r="Z40" s="5"/>
      <c r="AA40" s="77">
        <v>0.96950000000000003</v>
      </c>
      <c r="AB40" s="53">
        <v>1</v>
      </c>
      <c r="AC40" s="81">
        <f>IF(AC19&gt;0, IF(TYPE($G$35)=1, $G$35 * ((AC19^(-1/($G$35*($AB40-AC$38))))-1), -(LN(AC19)/($AB40-AC$38))), 0)</f>
        <v>3.2181536874677619E-2</v>
      </c>
      <c r="AD40" s="84"/>
      <c r="AE40" s="84"/>
      <c r="AF40" s="84"/>
      <c r="AG40" s="84"/>
      <c r="AH40" s="84"/>
      <c r="AI40" s="84"/>
      <c r="AJ40" s="84"/>
      <c r="AK40" s="84"/>
      <c r="AL40" s="84"/>
      <c r="AM40" s="84"/>
      <c r="AN40" s="84"/>
      <c r="AO40" s="84"/>
      <c r="AP40" s="84"/>
      <c r="AQ40" s="84"/>
      <c r="AR40" s="85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1"/>
      <c r="D41" s="1"/>
      <c r="E41" s="1"/>
      <c r="F41" s="11"/>
      <c r="G41" s="77">
        <v>0.95740000000000003</v>
      </c>
      <c r="H41" s="53">
        <v>1.5</v>
      </c>
      <c r="I41" s="81">
        <f t="shared" ref="I41:W54" si="22">IF(I20&gt;0, IF(TYPE($G$35)=1, $G$35 * ((I20^(-1/($G$35*($H41-I$38))))-1), -(LN(I20)/($H41-I$38))), 0)</f>
        <v>2.87262265669459E-2</v>
      </c>
      <c r="J41" s="81">
        <f t="shared" si="22"/>
        <v>2.5276791309797542E-2</v>
      </c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5"/>
      <c r="Y41" s="1"/>
      <c r="Z41" s="11"/>
      <c r="AA41" s="77">
        <v>0.95740000000000003</v>
      </c>
      <c r="AB41" s="53">
        <v>1.5</v>
      </c>
      <c r="AC41" s="81">
        <f t="shared" ref="AC41:AC54" si="23">IF(AC20&gt;0, IF(TYPE($G$35)=1, $G$35 * ((AC20^(-1/($G$35*($AB41-AC$38))))-1), -(LN(AC20)/($AB41-AC$38))), 0)</f>
        <v>2.87262265669459E-2</v>
      </c>
      <c r="AD41" s="81">
        <f t="shared" ref="AD41:AQ54" si="24">IF(AD20&gt;0, IF(TYPE($G$35)=1, $G$35 * ((AD20^(-1/($G$35*($H41-AD$38))))-1), -(LN(AD20)/($H41-AD$38))), 0)</f>
        <v>2.5276791309797542E-2</v>
      </c>
      <c r="AE41" s="84"/>
      <c r="AF41" s="84"/>
      <c r="AG41" s="84"/>
      <c r="AH41" s="84"/>
      <c r="AI41" s="84"/>
      <c r="AJ41" s="84"/>
      <c r="AK41" s="84"/>
      <c r="AL41" s="84"/>
      <c r="AM41" s="84"/>
      <c r="AN41" s="84"/>
      <c r="AO41" s="84"/>
      <c r="AP41" s="84"/>
      <c r="AQ41" s="84"/>
      <c r="AR41" s="85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1"/>
      <c r="D42" s="1"/>
      <c r="E42" s="1"/>
      <c r="F42" s="11"/>
      <c r="G42" s="77">
        <v>0.94550000000000001</v>
      </c>
      <c r="H42" s="53">
        <v>2</v>
      </c>
      <c r="I42" s="81">
        <f t="shared" si="22"/>
        <v>2.754074736125034E-2</v>
      </c>
      <c r="J42" s="81">
        <f t="shared" si="22"/>
        <v>2.5224328343984137E-2</v>
      </c>
      <c r="K42" s="81">
        <f t="shared" si="22"/>
        <v>2.5171866737176085E-2</v>
      </c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5"/>
      <c r="Y42" s="1"/>
      <c r="Z42" s="11"/>
      <c r="AA42" s="77">
        <v>0.94550000000000001</v>
      </c>
      <c r="AB42" s="53">
        <v>2</v>
      </c>
      <c r="AC42" s="81">
        <f t="shared" si="23"/>
        <v>2.754074736125034E-2</v>
      </c>
      <c r="AD42" s="81">
        <f t="shared" si="24"/>
        <v>2.5224328343984137E-2</v>
      </c>
      <c r="AE42" s="81">
        <f t="shared" si="24"/>
        <v>2.5171866737176085E-2</v>
      </c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5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1"/>
      <c r="D43" s="1"/>
      <c r="E43" s="1"/>
      <c r="F43" s="11"/>
      <c r="G43" s="77">
        <v>0</v>
      </c>
      <c r="H43" s="53">
        <v>2.5</v>
      </c>
      <c r="I43" s="81">
        <f t="shared" si="22"/>
        <v>0</v>
      </c>
      <c r="J43" s="81">
        <f t="shared" si="22"/>
        <v>0</v>
      </c>
      <c r="K43" s="81">
        <f t="shared" si="22"/>
        <v>0</v>
      </c>
      <c r="L43" s="81">
        <f t="shared" si="22"/>
        <v>0</v>
      </c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5"/>
      <c r="Y43" s="1"/>
      <c r="Z43" s="11"/>
      <c r="AA43" s="77">
        <v>0</v>
      </c>
      <c r="AB43" s="53">
        <v>2.5</v>
      </c>
      <c r="AC43" s="81">
        <f t="shared" si="23"/>
        <v>0</v>
      </c>
      <c r="AD43" s="81">
        <f t="shared" si="24"/>
        <v>0</v>
      </c>
      <c r="AE43" s="81">
        <f t="shared" si="24"/>
        <v>0</v>
      </c>
      <c r="AF43" s="81">
        <f t="shared" si="24"/>
        <v>0</v>
      </c>
      <c r="AG43" s="84"/>
      <c r="AH43" s="84"/>
      <c r="AI43" s="84"/>
      <c r="AJ43" s="84"/>
      <c r="AK43" s="84"/>
      <c r="AL43" s="84"/>
      <c r="AM43" s="84"/>
      <c r="AN43" s="84"/>
      <c r="AO43" s="84"/>
      <c r="AP43" s="84"/>
      <c r="AQ43" s="84"/>
      <c r="AR43" s="85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1"/>
      <c r="D44" s="1"/>
      <c r="E44" s="1"/>
      <c r="F44" s="11"/>
      <c r="G44" s="77">
        <v>0</v>
      </c>
      <c r="H44" s="53">
        <v>3</v>
      </c>
      <c r="I44" s="81">
        <f t="shared" si="22"/>
        <v>0</v>
      </c>
      <c r="J44" s="81">
        <f t="shared" si="22"/>
        <v>0</v>
      </c>
      <c r="K44" s="81">
        <f t="shared" si="22"/>
        <v>0</v>
      </c>
      <c r="L44" s="81">
        <f t="shared" si="22"/>
        <v>0</v>
      </c>
      <c r="M44" s="81">
        <f t="shared" si="22"/>
        <v>0</v>
      </c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5"/>
      <c r="Y44" s="1"/>
      <c r="Z44" s="11"/>
      <c r="AA44" s="77">
        <v>0</v>
      </c>
      <c r="AB44" s="53">
        <v>3</v>
      </c>
      <c r="AC44" s="81">
        <f t="shared" si="23"/>
        <v>0</v>
      </c>
      <c r="AD44" s="81">
        <f t="shared" si="24"/>
        <v>0</v>
      </c>
      <c r="AE44" s="81">
        <f t="shared" si="24"/>
        <v>0</v>
      </c>
      <c r="AF44" s="81">
        <f t="shared" si="24"/>
        <v>0</v>
      </c>
      <c r="AG44" s="81">
        <f t="shared" si="24"/>
        <v>0</v>
      </c>
      <c r="AH44" s="84"/>
      <c r="AI44" s="84"/>
      <c r="AJ44" s="84"/>
      <c r="AK44" s="84"/>
      <c r="AL44" s="84"/>
      <c r="AM44" s="84"/>
      <c r="AN44" s="84"/>
      <c r="AO44" s="84"/>
      <c r="AP44" s="84"/>
      <c r="AQ44" s="84"/>
      <c r="AR44" s="85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1"/>
      <c r="G45" s="77">
        <v>0</v>
      </c>
      <c r="H45" s="53">
        <v>3.5</v>
      </c>
      <c r="I45" s="81">
        <f t="shared" si="22"/>
        <v>0</v>
      </c>
      <c r="J45" s="81">
        <f t="shared" si="22"/>
        <v>0</v>
      </c>
      <c r="K45" s="81">
        <f t="shared" si="22"/>
        <v>0</v>
      </c>
      <c r="L45" s="81">
        <f t="shared" si="22"/>
        <v>0</v>
      </c>
      <c r="M45" s="81">
        <f t="shared" si="22"/>
        <v>0</v>
      </c>
      <c r="N45" s="81">
        <f t="shared" si="22"/>
        <v>0</v>
      </c>
      <c r="O45" s="84"/>
      <c r="P45" s="84"/>
      <c r="Q45" s="84"/>
      <c r="R45" s="84"/>
      <c r="S45" s="84"/>
      <c r="T45" s="84"/>
      <c r="U45" s="84"/>
      <c r="V45" s="84"/>
      <c r="W45" s="84"/>
      <c r="X45" s="85"/>
      <c r="Y45" s="1"/>
      <c r="Z45" s="11"/>
      <c r="AA45" s="77">
        <v>0</v>
      </c>
      <c r="AB45" s="53">
        <v>3.5</v>
      </c>
      <c r="AC45" s="81">
        <f t="shared" si="23"/>
        <v>0</v>
      </c>
      <c r="AD45" s="81">
        <f t="shared" si="24"/>
        <v>0</v>
      </c>
      <c r="AE45" s="81">
        <f t="shared" si="24"/>
        <v>0</v>
      </c>
      <c r="AF45" s="81">
        <f t="shared" si="24"/>
        <v>0</v>
      </c>
      <c r="AG45" s="81">
        <f t="shared" si="24"/>
        <v>0</v>
      </c>
      <c r="AH45" s="81">
        <f t="shared" si="24"/>
        <v>0</v>
      </c>
      <c r="AI45" s="84"/>
      <c r="AJ45" s="84"/>
      <c r="AK45" s="84"/>
      <c r="AL45" s="84"/>
      <c r="AM45" s="84"/>
      <c r="AN45" s="84"/>
      <c r="AO45" s="84"/>
      <c r="AP45" s="84"/>
      <c r="AQ45" s="84"/>
      <c r="AR45" s="85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1"/>
      <c r="G46" s="77">
        <v>0</v>
      </c>
      <c r="H46" s="53">
        <v>4</v>
      </c>
      <c r="I46" s="81">
        <f t="shared" si="22"/>
        <v>0</v>
      </c>
      <c r="J46" s="81">
        <f t="shared" si="22"/>
        <v>0</v>
      </c>
      <c r="K46" s="81">
        <f t="shared" si="22"/>
        <v>0</v>
      </c>
      <c r="L46" s="81">
        <f t="shared" si="22"/>
        <v>0</v>
      </c>
      <c r="M46" s="81">
        <f t="shared" si="22"/>
        <v>0</v>
      </c>
      <c r="N46" s="81">
        <f t="shared" si="22"/>
        <v>0</v>
      </c>
      <c r="O46" s="81">
        <f t="shared" si="22"/>
        <v>0</v>
      </c>
      <c r="P46" s="84"/>
      <c r="Q46" s="84"/>
      <c r="R46" s="84"/>
      <c r="S46" s="84"/>
      <c r="T46" s="84"/>
      <c r="U46" s="84"/>
      <c r="V46" s="84"/>
      <c r="W46" s="84"/>
      <c r="X46" s="85"/>
      <c r="Y46" s="1"/>
      <c r="Z46" s="11"/>
      <c r="AA46" s="77">
        <v>0</v>
      </c>
      <c r="AB46" s="53">
        <v>4</v>
      </c>
      <c r="AC46" s="81">
        <f t="shared" si="23"/>
        <v>0</v>
      </c>
      <c r="AD46" s="81">
        <f t="shared" si="24"/>
        <v>0</v>
      </c>
      <c r="AE46" s="81">
        <f t="shared" si="24"/>
        <v>0</v>
      </c>
      <c r="AF46" s="81">
        <f t="shared" si="24"/>
        <v>0</v>
      </c>
      <c r="AG46" s="81">
        <f t="shared" si="24"/>
        <v>0</v>
      </c>
      <c r="AH46" s="81">
        <f t="shared" si="24"/>
        <v>0</v>
      </c>
      <c r="AI46" s="81">
        <f t="shared" si="24"/>
        <v>0</v>
      </c>
      <c r="AJ46" s="84"/>
      <c r="AK46" s="84"/>
      <c r="AL46" s="84"/>
      <c r="AM46" s="84"/>
      <c r="AN46" s="84"/>
      <c r="AO46" s="84"/>
      <c r="AP46" s="84"/>
      <c r="AQ46" s="84"/>
      <c r="AR46" s="85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1"/>
      <c r="G47" s="77">
        <v>0</v>
      </c>
      <c r="H47" s="53">
        <v>4.5</v>
      </c>
      <c r="I47" s="81">
        <f t="shared" si="22"/>
        <v>0</v>
      </c>
      <c r="J47" s="81">
        <f t="shared" si="22"/>
        <v>0</v>
      </c>
      <c r="K47" s="81">
        <f t="shared" si="22"/>
        <v>0</v>
      </c>
      <c r="L47" s="81">
        <f t="shared" si="22"/>
        <v>0</v>
      </c>
      <c r="M47" s="81">
        <f t="shared" si="22"/>
        <v>0</v>
      </c>
      <c r="N47" s="81">
        <f t="shared" si="22"/>
        <v>0</v>
      </c>
      <c r="O47" s="81">
        <f t="shared" si="22"/>
        <v>0</v>
      </c>
      <c r="P47" s="81">
        <f t="shared" si="22"/>
        <v>0</v>
      </c>
      <c r="Q47" s="84"/>
      <c r="R47" s="84"/>
      <c r="S47" s="84"/>
      <c r="T47" s="84"/>
      <c r="U47" s="84"/>
      <c r="V47" s="84"/>
      <c r="W47" s="84"/>
      <c r="X47" s="85"/>
      <c r="Y47" s="1"/>
      <c r="Z47" s="11"/>
      <c r="AA47" s="77">
        <v>0</v>
      </c>
      <c r="AB47" s="53">
        <v>4.5</v>
      </c>
      <c r="AC47" s="81">
        <f t="shared" si="23"/>
        <v>0</v>
      </c>
      <c r="AD47" s="81">
        <f t="shared" si="24"/>
        <v>0</v>
      </c>
      <c r="AE47" s="81">
        <f t="shared" si="24"/>
        <v>0</v>
      </c>
      <c r="AF47" s="81">
        <f t="shared" si="24"/>
        <v>0</v>
      </c>
      <c r="AG47" s="81">
        <f t="shared" si="24"/>
        <v>0</v>
      </c>
      <c r="AH47" s="81">
        <f t="shared" si="24"/>
        <v>0</v>
      </c>
      <c r="AI47" s="81">
        <f t="shared" si="24"/>
        <v>0</v>
      </c>
      <c r="AJ47" s="81">
        <f t="shared" si="24"/>
        <v>0</v>
      </c>
      <c r="AK47" s="84"/>
      <c r="AL47" s="84"/>
      <c r="AM47" s="84"/>
      <c r="AN47" s="84"/>
      <c r="AO47" s="84"/>
      <c r="AP47" s="84"/>
      <c r="AQ47" s="84"/>
      <c r="AR47" s="85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1"/>
      <c r="D48" s="1"/>
      <c r="E48" s="1"/>
      <c r="F48" s="11"/>
      <c r="G48" s="77">
        <v>0</v>
      </c>
      <c r="H48" s="53">
        <v>5</v>
      </c>
      <c r="I48" s="81">
        <f t="shared" si="22"/>
        <v>0</v>
      </c>
      <c r="J48" s="81">
        <f t="shared" si="22"/>
        <v>0</v>
      </c>
      <c r="K48" s="81">
        <f t="shared" si="22"/>
        <v>0</v>
      </c>
      <c r="L48" s="81">
        <f t="shared" si="22"/>
        <v>0</v>
      </c>
      <c r="M48" s="81">
        <f t="shared" si="22"/>
        <v>0</v>
      </c>
      <c r="N48" s="81">
        <f t="shared" si="22"/>
        <v>0</v>
      </c>
      <c r="O48" s="81">
        <f t="shared" si="22"/>
        <v>0</v>
      </c>
      <c r="P48" s="81">
        <f t="shared" si="22"/>
        <v>0</v>
      </c>
      <c r="Q48" s="81">
        <f t="shared" si="22"/>
        <v>0</v>
      </c>
      <c r="R48" s="84"/>
      <c r="S48" s="84"/>
      <c r="T48" s="84"/>
      <c r="U48" s="84"/>
      <c r="V48" s="84"/>
      <c r="W48" s="84"/>
      <c r="X48" s="85"/>
      <c r="Y48" s="1"/>
      <c r="Z48" s="11"/>
      <c r="AA48" s="77">
        <v>0</v>
      </c>
      <c r="AB48" s="53">
        <v>5</v>
      </c>
      <c r="AC48" s="81">
        <f t="shared" si="23"/>
        <v>0</v>
      </c>
      <c r="AD48" s="81">
        <f t="shared" si="24"/>
        <v>0</v>
      </c>
      <c r="AE48" s="81">
        <f t="shared" si="24"/>
        <v>0</v>
      </c>
      <c r="AF48" s="81">
        <f t="shared" si="24"/>
        <v>0</v>
      </c>
      <c r="AG48" s="81">
        <f t="shared" si="24"/>
        <v>0</v>
      </c>
      <c r="AH48" s="81">
        <f t="shared" si="24"/>
        <v>0</v>
      </c>
      <c r="AI48" s="81">
        <f t="shared" si="24"/>
        <v>0</v>
      </c>
      <c r="AJ48" s="81">
        <f t="shared" si="24"/>
        <v>0</v>
      </c>
      <c r="AK48" s="81">
        <f t="shared" si="24"/>
        <v>0</v>
      </c>
      <c r="AL48" s="84"/>
      <c r="AM48" s="84"/>
      <c r="AN48" s="84"/>
      <c r="AO48" s="84"/>
      <c r="AP48" s="84"/>
      <c r="AQ48" s="84"/>
      <c r="AR48" s="85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1"/>
      <c r="D49" s="1"/>
      <c r="E49" s="1"/>
      <c r="F49" s="11"/>
      <c r="G49" s="77">
        <v>0</v>
      </c>
      <c r="H49" s="53">
        <v>5.5</v>
      </c>
      <c r="I49" s="81">
        <f t="shared" si="22"/>
        <v>0</v>
      </c>
      <c r="J49" s="81">
        <f t="shared" si="22"/>
        <v>0</v>
      </c>
      <c r="K49" s="81">
        <f t="shared" si="22"/>
        <v>0</v>
      </c>
      <c r="L49" s="81">
        <f t="shared" si="22"/>
        <v>0</v>
      </c>
      <c r="M49" s="81">
        <f t="shared" si="22"/>
        <v>0</v>
      </c>
      <c r="N49" s="81">
        <f t="shared" si="22"/>
        <v>0</v>
      </c>
      <c r="O49" s="81">
        <f t="shared" si="22"/>
        <v>0</v>
      </c>
      <c r="P49" s="81">
        <f t="shared" si="22"/>
        <v>0</v>
      </c>
      <c r="Q49" s="81">
        <f t="shared" si="22"/>
        <v>0</v>
      </c>
      <c r="R49" s="81">
        <f t="shared" si="22"/>
        <v>0</v>
      </c>
      <c r="S49" s="84"/>
      <c r="T49" s="84"/>
      <c r="U49" s="84"/>
      <c r="V49" s="84"/>
      <c r="W49" s="84"/>
      <c r="X49" s="85"/>
      <c r="Y49" s="1"/>
      <c r="Z49" s="11"/>
      <c r="AA49" s="77">
        <v>0</v>
      </c>
      <c r="AB49" s="53">
        <v>5.5</v>
      </c>
      <c r="AC49" s="81">
        <f t="shared" si="23"/>
        <v>0</v>
      </c>
      <c r="AD49" s="81">
        <f t="shared" si="24"/>
        <v>0</v>
      </c>
      <c r="AE49" s="81">
        <f t="shared" si="24"/>
        <v>0</v>
      </c>
      <c r="AF49" s="81">
        <f t="shared" si="24"/>
        <v>0</v>
      </c>
      <c r="AG49" s="81">
        <f t="shared" si="24"/>
        <v>0</v>
      </c>
      <c r="AH49" s="81">
        <f t="shared" si="24"/>
        <v>0</v>
      </c>
      <c r="AI49" s="81">
        <f t="shared" si="24"/>
        <v>0</v>
      </c>
      <c r="AJ49" s="81">
        <f t="shared" si="24"/>
        <v>0</v>
      </c>
      <c r="AK49" s="81">
        <f t="shared" si="24"/>
        <v>0</v>
      </c>
      <c r="AL49" s="81">
        <f t="shared" si="24"/>
        <v>0</v>
      </c>
      <c r="AM49" s="84"/>
      <c r="AN49" s="84"/>
      <c r="AO49" s="84"/>
      <c r="AP49" s="84"/>
      <c r="AQ49" s="84"/>
      <c r="AR49" s="85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1"/>
      <c r="D50" s="1"/>
      <c r="E50" s="1"/>
      <c r="F50" s="11"/>
      <c r="G50" s="77">
        <v>0</v>
      </c>
      <c r="H50" s="53">
        <v>6</v>
      </c>
      <c r="I50" s="81">
        <f t="shared" si="22"/>
        <v>0</v>
      </c>
      <c r="J50" s="81">
        <f t="shared" si="22"/>
        <v>0</v>
      </c>
      <c r="K50" s="81">
        <f t="shared" si="22"/>
        <v>0</v>
      </c>
      <c r="L50" s="81">
        <f t="shared" si="22"/>
        <v>0</v>
      </c>
      <c r="M50" s="81">
        <f t="shared" si="22"/>
        <v>0</v>
      </c>
      <c r="N50" s="81">
        <f t="shared" si="22"/>
        <v>0</v>
      </c>
      <c r="O50" s="81">
        <f t="shared" si="22"/>
        <v>0</v>
      </c>
      <c r="P50" s="81">
        <f t="shared" si="22"/>
        <v>0</v>
      </c>
      <c r="Q50" s="81">
        <f t="shared" si="22"/>
        <v>0</v>
      </c>
      <c r="R50" s="81">
        <f t="shared" si="22"/>
        <v>0</v>
      </c>
      <c r="S50" s="81">
        <f t="shared" si="22"/>
        <v>0</v>
      </c>
      <c r="T50" s="84"/>
      <c r="U50" s="84"/>
      <c r="V50" s="84"/>
      <c r="W50" s="84"/>
      <c r="X50" s="85"/>
      <c r="Y50" s="1"/>
      <c r="Z50" s="11"/>
      <c r="AA50" s="77">
        <v>0</v>
      </c>
      <c r="AB50" s="53">
        <v>6</v>
      </c>
      <c r="AC50" s="81">
        <f t="shared" si="23"/>
        <v>0</v>
      </c>
      <c r="AD50" s="81">
        <f t="shared" si="24"/>
        <v>0</v>
      </c>
      <c r="AE50" s="81">
        <f t="shared" si="24"/>
        <v>0</v>
      </c>
      <c r="AF50" s="81">
        <f t="shared" si="24"/>
        <v>0</v>
      </c>
      <c r="AG50" s="81">
        <f t="shared" si="24"/>
        <v>0</v>
      </c>
      <c r="AH50" s="81">
        <f t="shared" si="24"/>
        <v>0</v>
      </c>
      <c r="AI50" s="81">
        <f t="shared" si="24"/>
        <v>0</v>
      </c>
      <c r="AJ50" s="81">
        <f t="shared" si="24"/>
        <v>0</v>
      </c>
      <c r="AK50" s="81">
        <f t="shared" si="24"/>
        <v>0</v>
      </c>
      <c r="AL50" s="81">
        <f t="shared" si="24"/>
        <v>0</v>
      </c>
      <c r="AM50" s="81">
        <f t="shared" si="24"/>
        <v>0</v>
      </c>
      <c r="AN50" s="84"/>
      <c r="AO50" s="84"/>
      <c r="AP50" s="84"/>
      <c r="AQ50" s="84"/>
      <c r="AR50" s="85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1"/>
      <c r="D51" s="1"/>
      <c r="E51" s="1"/>
      <c r="F51" s="11"/>
      <c r="G51" s="77">
        <v>0</v>
      </c>
      <c r="H51" s="53">
        <v>6.5</v>
      </c>
      <c r="I51" s="81">
        <f t="shared" si="22"/>
        <v>0</v>
      </c>
      <c r="J51" s="81">
        <f t="shared" si="22"/>
        <v>0</v>
      </c>
      <c r="K51" s="81">
        <f t="shared" si="22"/>
        <v>0</v>
      </c>
      <c r="L51" s="81">
        <f t="shared" si="22"/>
        <v>0</v>
      </c>
      <c r="M51" s="81">
        <f t="shared" si="22"/>
        <v>0</v>
      </c>
      <c r="N51" s="81">
        <f t="shared" si="22"/>
        <v>0</v>
      </c>
      <c r="O51" s="81">
        <f t="shared" si="22"/>
        <v>0</v>
      </c>
      <c r="P51" s="81">
        <f t="shared" si="22"/>
        <v>0</v>
      </c>
      <c r="Q51" s="81">
        <f t="shared" si="22"/>
        <v>0</v>
      </c>
      <c r="R51" s="81">
        <f t="shared" si="22"/>
        <v>0</v>
      </c>
      <c r="S51" s="81">
        <f t="shared" si="22"/>
        <v>0</v>
      </c>
      <c r="T51" s="81">
        <f t="shared" si="22"/>
        <v>0</v>
      </c>
      <c r="U51" s="84"/>
      <c r="V51" s="84"/>
      <c r="W51" s="84"/>
      <c r="X51" s="85"/>
      <c r="Y51" s="1"/>
      <c r="Z51" s="11"/>
      <c r="AA51" s="77">
        <v>0</v>
      </c>
      <c r="AB51" s="53">
        <v>6.5</v>
      </c>
      <c r="AC51" s="81">
        <f t="shared" si="23"/>
        <v>0</v>
      </c>
      <c r="AD51" s="81">
        <f t="shared" si="24"/>
        <v>0</v>
      </c>
      <c r="AE51" s="81">
        <f t="shared" si="24"/>
        <v>0</v>
      </c>
      <c r="AF51" s="81">
        <f t="shared" si="24"/>
        <v>0</v>
      </c>
      <c r="AG51" s="81">
        <f t="shared" si="24"/>
        <v>0</v>
      </c>
      <c r="AH51" s="81">
        <f t="shared" si="24"/>
        <v>0</v>
      </c>
      <c r="AI51" s="81">
        <f t="shared" si="24"/>
        <v>0</v>
      </c>
      <c r="AJ51" s="81">
        <f t="shared" si="24"/>
        <v>0</v>
      </c>
      <c r="AK51" s="81">
        <f t="shared" si="24"/>
        <v>0</v>
      </c>
      <c r="AL51" s="81">
        <f t="shared" si="24"/>
        <v>0</v>
      </c>
      <c r="AM51" s="81">
        <f t="shared" si="24"/>
        <v>0</v>
      </c>
      <c r="AN51" s="81">
        <f t="shared" si="24"/>
        <v>0</v>
      </c>
      <c r="AO51" s="84"/>
      <c r="AP51" s="84"/>
      <c r="AQ51" s="84"/>
      <c r="AR51" s="85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1"/>
      <c r="D52" s="1"/>
      <c r="E52" s="1"/>
      <c r="F52" s="11"/>
      <c r="G52" s="77">
        <v>0</v>
      </c>
      <c r="H52" s="53">
        <v>7</v>
      </c>
      <c r="I52" s="81">
        <f t="shared" si="22"/>
        <v>0</v>
      </c>
      <c r="J52" s="81">
        <f t="shared" si="22"/>
        <v>0</v>
      </c>
      <c r="K52" s="81">
        <f t="shared" si="22"/>
        <v>0</v>
      </c>
      <c r="L52" s="81">
        <f t="shared" si="22"/>
        <v>0</v>
      </c>
      <c r="M52" s="81">
        <f t="shared" si="22"/>
        <v>0</v>
      </c>
      <c r="N52" s="81">
        <f t="shared" si="22"/>
        <v>0</v>
      </c>
      <c r="O52" s="81">
        <f t="shared" si="22"/>
        <v>0</v>
      </c>
      <c r="P52" s="81">
        <f t="shared" si="22"/>
        <v>0</v>
      </c>
      <c r="Q52" s="81">
        <f t="shared" si="22"/>
        <v>0</v>
      </c>
      <c r="R52" s="81">
        <f t="shared" si="22"/>
        <v>0</v>
      </c>
      <c r="S52" s="81">
        <f t="shared" si="22"/>
        <v>0</v>
      </c>
      <c r="T52" s="81">
        <f t="shared" si="22"/>
        <v>0</v>
      </c>
      <c r="U52" s="81">
        <f t="shared" si="22"/>
        <v>0</v>
      </c>
      <c r="V52" s="84"/>
      <c r="W52" s="84"/>
      <c r="X52" s="85"/>
      <c r="Y52" s="1"/>
      <c r="Z52" s="11"/>
      <c r="AA52" s="77">
        <v>0</v>
      </c>
      <c r="AB52" s="53">
        <v>7</v>
      </c>
      <c r="AC52" s="81">
        <f t="shared" si="23"/>
        <v>0</v>
      </c>
      <c r="AD52" s="81">
        <f t="shared" si="24"/>
        <v>0</v>
      </c>
      <c r="AE52" s="81">
        <f t="shared" si="24"/>
        <v>0</v>
      </c>
      <c r="AF52" s="81">
        <f t="shared" si="24"/>
        <v>0</v>
      </c>
      <c r="AG52" s="81">
        <f t="shared" si="24"/>
        <v>0</v>
      </c>
      <c r="AH52" s="81">
        <f t="shared" si="24"/>
        <v>0</v>
      </c>
      <c r="AI52" s="81">
        <f t="shared" si="24"/>
        <v>0</v>
      </c>
      <c r="AJ52" s="81">
        <f t="shared" si="24"/>
        <v>0</v>
      </c>
      <c r="AK52" s="81">
        <f t="shared" si="24"/>
        <v>0</v>
      </c>
      <c r="AL52" s="81">
        <f t="shared" si="24"/>
        <v>0</v>
      </c>
      <c r="AM52" s="81">
        <f t="shared" si="24"/>
        <v>0</v>
      </c>
      <c r="AN52" s="81">
        <f t="shared" si="24"/>
        <v>0</v>
      </c>
      <c r="AO52" s="81">
        <f t="shared" si="24"/>
        <v>0</v>
      </c>
      <c r="AP52" s="84"/>
      <c r="AQ52" s="84"/>
      <c r="AR52" s="85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1"/>
      <c r="D53" s="1"/>
      <c r="E53" s="1"/>
      <c r="F53" s="11"/>
      <c r="G53" s="77">
        <v>0</v>
      </c>
      <c r="H53" s="53">
        <v>7.5</v>
      </c>
      <c r="I53" s="81">
        <f t="shared" si="22"/>
        <v>0</v>
      </c>
      <c r="J53" s="81">
        <f t="shared" si="22"/>
        <v>0</v>
      </c>
      <c r="K53" s="81">
        <f t="shared" si="22"/>
        <v>0</v>
      </c>
      <c r="L53" s="81">
        <f t="shared" si="22"/>
        <v>0</v>
      </c>
      <c r="M53" s="81">
        <f t="shared" si="22"/>
        <v>0</v>
      </c>
      <c r="N53" s="81">
        <f t="shared" si="22"/>
        <v>0</v>
      </c>
      <c r="O53" s="81">
        <f t="shared" si="22"/>
        <v>0</v>
      </c>
      <c r="P53" s="81">
        <f t="shared" si="22"/>
        <v>0</v>
      </c>
      <c r="Q53" s="81">
        <f t="shared" si="22"/>
        <v>0</v>
      </c>
      <c r="R53" s="81">
        <f t="shared" si="22"/>
        <v>0</v>
      </c>
      <c r="S53" s="81">
        <f t="shared" si="22"/>
        <v>0</v>
      </c>
      <c r="T53" s="81">
        <f t="shared" si="22"/>
        <v>0</v>
      </c>
      <c r="U53" s="81">
        <f t="shared" si="22"/>
        <v>0</v>
      </c>
      <c r="V53" s="81">
        <f t="shared" si="22"/>
        <v>0</v>
      </c>
      <c r="W53" s="84"/>
      <c r="X53" s="85"/>
      <c r="Y53" s="1"/>
      <c r="Z53" s="11"/>
      <c r="AA53" s="77">
        <v>0</v>
      </c>
      <c r="AB53" s="53">
        <v>7.5</v>
      </c>
      <c r="AC53" s="81">
        <f t="shared" si="23"/>
        <v>0</v>
      </c>
      <c r="AD53" s="81">
        <f t="shared" si="24"/>
        <v>0</v>
      </c>
      <c r="AE53" s="81">
        <f t="shared" si="24"/>
        <v>0</v>
      </c>
      <c r="AF53" s="81">
        <f t="shared" si="24"/>
        <v>0</v>
      </c>
      <c r="AG53" s="81">
        <f t="shared" si="24"/>
        <v>0</v>
      </c>
      <c r="AH53" s="81">
        <f t="shared" si="24"/>
        <v>0</v>
      </c>
      <c r="AI53" s="81">
        <f t="shared" si="24"/>
        <v>0</v>
      </c>
      <c r="AJ53" s="81">
        <f t="shared" si="24"/>
        <v>0</v>
      </c>
      <c r="AK53" s="81">
        <f t="shared" si="24"/>
        <v>0</v>
      </c>
      <c r="AL53" s="81">
        <f t="shared" si="24"/>
        <v>0</v>
      </c>
      <c r="AM53" s="81">
        <f t="shared" si="24"/>
        <v>0</v>
      </c>
      <c r="AN53" s="81">
        <f t="shared" si="24"/>
        <v>0</v>
      </c>
      <c r="AO53" s="81">
        <f t="shared" si="24"/>
        <v>0</v>
      </c>
      <c r="AP53" s="81">
        <f t="shared" si="24"/>
        <v>0</v>
      </c>
      <c r="AQ53" s="84"/>
      <c r="AR53" s="85"/>
      <c r="AS53" s="1"/>
      <c r="AT53" s="1"/>
      <c r="AU53" s="1"/>
      <c r="AV53" s="1"/>
      <c r="AW53" s="1"/>
      <c r="AX53" s="1"/>
      <c r="AY53" s="1"/>
      <c r="AZ53" s="1"/>
      <c r="BA53" s="1"/>
    </row>
    <row r="54" spans="1:53" ht="15.75" thickBot="1" x14ac:dyDescent="0.3">
      <c r="A54" s="1"/>
      <c r="B54" s="1"/>
      <c r="C54" s="1"/>
      <c r="D54" s="1"/>
      <c r="E54" s="1"/>
      <c r="F54" s="13"/>
      <c r="G54" s="80">
        <v>0</v>
      </c>
      <c r="H54" s="56">
        <v>8</v>
      </c>
      <c r="I54" s="82">
        <f t="shared" si="22"/>
        <v>0</v>
      </c>
      <c r="J54" s="82">
        <f t="shared" si="22"/>
        <v>0</v>
      </c>
      <c r="K54" s="82">
        <f t="shared" si="22"/>
        <v>0</v>
      </c>
      <c r="L54" s="82">
        <f t="shared" si="22"/>
        <v>0</v>
      </c>
      <c r="M54" s="82">
        <f t="shared" si="22"/>
        <v>0</v>
      </c>
      <c r="N54" s="82">
        <f t="shared" si="22"/>
        <v>0</v>
      </c>
      <c r="O54" s="82">
        <f t="shared" si="22"/>
        <v>0</v>
      </c>
      <c r="P54" s="82">
        <f t="shared" si="22"/>
        <v>0</v>
      </c>
      <c r="Q54" s="82">
        <f t="shared" si="22"/>
        <v>0</v>
      </c>
      <c r="R54" s="82">
        <f t="shared" si="22"/>
        <v>0</v>
      </c>
      <c r="S54" s="82">
        <f t="shared" si="22"/>
        <v>0</v>
      </c>
      <c r="T54" s="82">
        <f t="shared" si="22"/>
        <v>0</v>
      </c>
      <c r="U54" s="82">
        <f t="shared" si="22"/>
        <v>0</v>
      </c>
      <c r="V54" s="82">
        <f t="shared" si="22"/>
        <v>0</v>
      </c>
      <c r="W54" s="82">
        <f t="shared" si="22"/>
        <v>0</v>
      </c>
      <c r="X54" s="86"/>
      <c r="Y54" s="1"/>
      <c r="Z54" s="13"/>
      <c r="AA54" s="80">
        <v>0</v>
      </c>
      <c r="AB54" s="56">
        <v>8</v>
      </c>
      <c r="AC54" s="82">
        <f t="shared" si="23"/>
        <v>0</v>
      </c>
      <c r="AD54" s="82">
        <f t="shared" si="24"/>
        <v>0</v>
      </c>
      <c r="AE54" s="82">
        <f t="shared" si="24"/>
        <v>0</v>
      </c>
      <c r="AF54" s="82">
        <f t="shared" si="24"/>
        <v>0</v>
      </c>
      <c r="AG54" s="82">
        <f t="shared" si="24"/>
        <v>0</v>
      </c>
      <c r="AH54" s="82">
        <f t="shared" si="24"/>
        <v>0</v>
      </c>
      <c r="AI54" s="82">
        <f t="shared" si="24"/>
        <v>0</v>
      </c>
      <c r="AJ54" s="82">
        <f t="shared" si="24"/>
        <v>0</v>
      </c>
      <c r="AK54" s="82">
        <f t="shared" si="24"/>
        <v>0</v>
      </c>
      <c r="AL54" s="82">
        <f t="shared" si="24"/>
        <v>0</v>
      </c>
      <c r="AM54" s="82">
        <f t="shared" si="24"/>
        <v>0</v>
      </c>
      <c r="AN54" s="82">
        <f t="shared" si="24"/>
        <v>0</v>
      </c>
      <c r="AO54" s="82">
        <f t="shared" si="24"/>
        <v>0</v>
      </c>
      <c r="AP54" s="82">
        <f t="shared" si="24"/>
        <v>0</v>
      </c>
      <c r="AQ54" s="82">
        <f t="shared" si="24"/>
        <v>0</v>
      </c>
      <c r="AR54" s="86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ht="29.25" thickBot="1" x14ac:dyDescent="0.5">
      <c r="A58" s="1"/>
      <c r="B58" s="1"/>
      <c r="C58" s="1"/>
      <c r="D58" s="1"/>
      <c r="E58" s="1"/>
      <c r="F58" s="133" t="s">
        <v>160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1"/>
      <c r="D59" s="1"/>
      <c r="E59" s="1"/>
      <c r="F59" s="49" t="s">
        <v>149</v>
      </c>
      <c r="G59" s="9"/>
      <c r="H59" s="50">
        <f>H8</f>
        <v>0.5</v>
      </c>
      <c r="I59" s="50">
        <f t="shared" ref="I59:W59" si="25">I8</f>
        <v>1</v>
      </c>
      <c r="J59" s="50">
        <f t="shared" si="25"/>
        <v>1.5</v>
      </c>
      <c r="K59" s="50">
        <f t="shared" si="25"/>
        <v>2</v>
      </c>
      <c r="L59" s="50">
        <f t="shared" si="25"/>
        <v>2.5</v>
      </c>
      <c r="M59" s="50">
        <f t="shared" si="25"/>
        <v>3</v>
      </c>
      <c r="N59" s="50">
        <f t="shared" si="25"/>
        <v>3.5</v>
      </c>
      <c r="O59" s="50">
        <f t="shared" si="25"/>
        <v>4</v>
      </c>
      <c r="P59" s="50">
        <f t="shared" si="25"/>
        <v>4.5</v>
      </c>
      <c r="Q59" s="50">
        <f t="shared" si="25"/>
        <v>5</v>
      </c>
      <c r="R59" s="50">
        <f t="shared" si="25"/>
        <v>5.5</v>
      </c>
      <c r="S59" s="50">
        <f t="shared" si="25"/>
        <v>6</v>
      </c>
      <c r="T59" s="50">
        <f t="shared" si="25"/>
        <v>6.5</v>
      </c>
      <c r="U59" s="50">
        <f t="shared" si="25"/>
        <v>7</v>
      </c>
      <c r="V59" s="50">
        <f t="shared" si="25"/>
        <v>7.5</v>
      </c>
      <c r="W59" s="51">
        <f t="shared" si="25"/>
        <v>8</v>
      </c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1"/>
      <c r="D60" s="1"/>
      <c r="E60" s="1"/>
      <c r="F60" s="52" t="s">
        <v>21</v>
      </c>
      <c r="G60" s="1"/>
      <c r="H60" s="53">
        <v>1</v>
      </c>
      <c r="I60" s="53">
        <v>2</v>
      </c>
      <c r="J60" s="53">
        <v>3</v>
      </c>
      <c r="K60" s="53">
        <v>4</v>
      </c>
      <c r="L60" s="53">
        <v>5</v>
      </c>
      <c r="M60" s="53">
        <v>6</v>
      </c>
      <c r="N60" s="53">
        <v>7</v>
      </c>
      <c r="O60" s="53">
        <v>8</v>
      </c>
      <c r="P60" s="53">
        <v>9</v>
      </c>
      <c r="Q60" s="53">
        <v>10</v>
      </c>
      <c r="R60" s="53">
        <v>11</v>
      </c>
      <c r="S60" s="53">
        <v>12</v>
      </c>
      <c r="T60" s="53">
        <v>13</v>
      </c>
      <c r="U60" s="53">
        <v>14</v>
      </c>
      <c r="V60" s="53">
        <v>15</v>
      </c>
      <c r="W60" s="54">
        <v>16</v>
      </c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1"/>
      <c r="D61" s="1"/>
      <c r="E61" s="1"/>
      <c r="F61" s="52" t="s">
        <v>5</v>
      </c>
      <c r="H61" s="53">
        <f>IF(AND($D$17&lt;=H$59, H$59&lt;=$D$18),$D$7,0)</f>
        <v>0</v>
      </c>
      <c r="I61" s="53">
        <f>IF(AND($D$17&lt;=I$59, I$59&lt;=$D$18),$D$7,0)</f>
        <v>5000000</v>
      </c>
      <c r="J61" s="53">
        <f t="shared" ref="J61:W61" si="26">IF(AND($D$17&lt;=J$59, J$59&lt;=$D$18),$D$7,0)</f>
        <v>5000000</v>
      </c>
      <c r="K61" s="53">
        <f t="shared" si="26"/>
        <v>5000000</v>
      </c>
      <c r="L61" s="53">
        <f t="shared" si="26"/>
        <v>0</v>
      </c>
      <c r="M61" s="53">
        <f t="shared" si="26"/>
        <v>0</v>
      </c>
      <c r="N61" s="53">
        <f t="shared" si="26"/>
        <v>0</v>
      </c>
      <c r="O61" s="53">
        <f t="shared" si="26"/>
        <v>0</v>
      </c>
      <c r="P61" s="53">
        <f t="shared" si="26"/>
        <v>0</v>
      </c>
      <c r="Q61" s="53">
        <f t="shared" si="26"/>
        <v>0</v>
      </c>
      <c r="R61" s="53">
        <f t="shared" si="26"/>
        <v>0</v>
      </c>
      <c r="S61" s="53">
        <f t="shared" si="26"/>
        <v>0</v>
      </c>
      <c r="T61" s="53">
        <f t="shared" si="26"/>
        <v>0</v>
      </c>
      <c r="U61" s="53">
        <f t="shared" si="26"/>
        <v>0</v>
      </c>
      <c r="V61" s="53">
        <f t="shared" si="26"/>
        <v>0</v>
      </c>
      <c r="W61" s="54">
        <f t="shared" si="26"/>
        <v>0</v>
      </c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1"/>
      <c r="D62" s="1"/>
      <c r="E62" s="1"/>
      <c r="F62" s="52" t="s">
        <v>20</v>
      </c>
      <c r="G62" s="1"/>
      <c r="H62" s="53">
        <f>IF(AND($D$17&lt;=H$59, H$59&lt;=$D$18),$D$9,0)</f>
        <v>0</v>
      </c>
      <c r="I62" s="53">
        <f t="shared" ref="I62:W62" si="27">IF(AND($D$17&lt;=I$59, I$59&lt;=$D$18),$D$9,0)</f>
        <v>0.5</v>
      </c>
      <c r="J62" s="53">
        <f t="shared" si="27"/>
        <v>0.5</v>
      </c>
      <c r="K62" s="53">
        <f t="shared" si="27"/>
        <v>0.5</v>
      </c>
      <c r="L62" s="53">
        <f t="shared" si="27"/>
        <v>0</v>
      </c>
      <c r="M62" s="53">
        <f t="shared" si="27"/>
        <v>0</v>
      </c>
      <c r="N62" s="53">
        <f t="shared" si="27"/>
        <v>0</v>
      </c>
      <c r="O62" s="53">
        <f t="shared" si="27"/>
        <v>0</v>
      </c>
      <c r="P62" s="53">
        <f t="shared" si="27"/>
        <v>0</v>
      </c>
      <c r="Q62" s="53">
        <f t="shared" si="27"/>
        <v>0</v>
      </c>
      <c r="R62" s="53">
        <f t="shared" si="27"/>
        <v>0</v>
      </c>
      <c r="S62" s="53">
        <f t="shared" si="27"/>
        <v>0</v>
      </c>
      <c r="T62" s="53">
        <f t="shared" si="27"/>
        <v>0</v>
      </c>
      <c r="U62" s="53">
        <f t="shared" si="27"/>
        <v>0</v>
      </c>
      <c r="V62" s="53">
        <f t="shared" si="27"/>
        <v>0</v>
      </c>
      <c r="W62" s="54">
        <f t="shared" si="27"/>
        <v>0</v>
      </c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1"/>
      <c r="D63" s="1"/>
      <c r="E63" s="1"/>
      <c r="F63" s="52" t="s">
        <v>9</v>
      </c>
      <c r="G63" s="1"/>
      <c r="H63" s="53">
        <f>IF(AND($D$17&lt;=H$59, H$59&lt;=$D$18),$D$8,0)</f>
        <v>0</v>
      </c>
      <c r="I63" s="53">
        <f t="shared" ref="I63:W63" si="28">IF(AND($D$17&lt;=I$59, I$59&lt;=$D$18),$D$8,0)</f>
        <v>2</v>
      </c>
      <c r="J63" s="53">
        <f t="shared" si="28"/>
        <v>2</v>
      </c>
      <c r="K63" s="53">
        <f t="shared" si="28"/>
        <v>2</v>
      </c>
      <c r="L63" s="53">
        <f t="shared" si="28"/>
        <v>0</v>
      </c>
      <c r="M63" s="53">
        <f t="shared" si="28"/>
        <v>0</v>
      </c>
      <c r="N63" s="53">
        <f t="shared" si="28"/>
        <v>0</v>
      </c>
      <c r="O63" s="53">
        <f t="shared" si="28"/>
        <v>0</v>
      </c>
      <c r="P63" s="53">
        <f t="shared" si="28"/>
        <v>0</v>
      </c>
      <c r="Q63" s="53">
        <f t="shared" si="28"/>
        <v>0</v>
      </c>
      <c r="R63" s="53">
        <f t="shared" si="28"/>
        <v>0</v>
      </c>
      <c r="S63" s="53">
        <f t="shared" si="28"/>
        <v>0</v>
      </c>
      <c r="T63" s="53">
        <f t="shared" si="28"/>
        <v>0</v>
      </c>
      <c r="U63" s="53">
        <f t="shared" si="28"/>
        <v>0</v>
      </c>
      <c r="V63" s="53">
        <f t="shared" si="28"/>
        <v>0</v>
      </c>
      <c r="W63" s="54">
        <f t="shared" si="28"/>
        <v>0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1"/>
      <c r="D64" s="1"/>
      <c r="E64" s="1"/>
      <c r="F64" s="52" t="s">
        <v>161</v>
      </c>
      <c r="G64" s="1"/>
      <c r="H64" s="53">
        <f>IF(AND($D$17&lt;=H$59, H$59&lt;=$D$18),$D$11,0)</f>
        <v>0</v>
      </c>
      <c r="I64" s="53">
        <f t="shared" ref="I64:W64" si="29">IF(AND($D$17&lt;=I$59, I$59&lt;=$D$18),$D$11,0)</f>
        <v>2.8572761453836453E-2</v>
      </c>
      <c r="J64" s="53">
        <f t="shared" si="29"/>
        <v>2.8572761453836453E-2</v>
      </c>
      <c r="K64" s="53">
        <f t="shared" si="29"/>
        <v>2.8572761453836453E-2</v>
      </c>
      <c r="L64" s="53">
        <f t="shared" si="29"/>
        <v>0</v>
      </c>
      <c r="M64" s="53">
        <f t="shared" si="29"/>
        <v>0</v>
      </c>
      <c r="N64" s="53">
        <f t="shared" si="29"/>
        <v>0</v>
      </c>
      <c r="O64" s="53">
        <f t="shared" si="29"/>
        <v>0</v>
      </c>
      <c r="P64" s="53">
        <f t="shared" si="29"/>
        <v>0</v>
      </c>
      <c r="Q64" s="53">
        <f t="shared" si="29"/>
        <v>0</v>
      </c>
      <c r="R64" s="53">
        <f t="shared" si="29"/>
        <v>0</v>
      </c>
      <c r="S64" s="53">
        <f t="shared" si="29"/>
        <v>0</v>
      </c>
      <c r="T64" s="53">
        <f t="shared" si="29"/>
        <v>0</v>
      </c>
      <c r="U64" s="53">
        <f t="shared" si="29"/>
        <v>0</v>
      </c>
      <c r="V64" s="53">
        <f t="shared" si="29"/>
        <v>0</v>
      </c>
      <c r="W64" s="54">
        <f t="shared" si="29"/>
        <v>0</v>
      </c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1"/>
      <c r="D65" s="1"/>
      <c r="E65" s="1"/>
      <c r="F65" s="52" t="s">
        <v>176</v>
      </c>
      <c r="G65" s="1"/>
      <c r="H65" s="53">
        <f>IF(AND($D$17&lt;=H$59, H$59&lt;=$D$18), $H$8, 0)</f>
        <v>0</v>
      </c>
      <c r="I65" s="53">
        <f t="shared" ref="I65:W65" si="30">IF(AND($D$17&lt;=I$59, I$59&lt;=$D$18), $H$8, 0)</f>
        <v>0.5</v>
      </c>
      <c r="J65" s="53">
        <f t="shared" si="30"/>
        <v>0.5</v>
      </c>
      <c r="K65" s="53">
        <f t="shared" si="30"/>
        <v>0.5</v>
      </c>
      <c r="L65" s="53">
        <f t="shared" si="30"/>
        <v>0</v>
      </c>
      <c r="M65" s="53">
        <f t="shared" si="30"/>
        <v>0</v>
      </c>
      <c r="N65" s="53">
        <f t="shared" si="30"/>
        <v>0</v>
      </c>
      <c r="O65" s="53">
        <f t="shared" si="30"/>
        <v>0</v>
      </c>
      <c r="P65" s="53">
        <f t="shared" si="30"/>
        <v>0</v>
      </c>
      <c r="Q65" s="53">
        <f t="shared" si="30"/>
        <v>0</v>
      </c>
      <c r="R65" s="53">
        <f t="shared" si="30"/>
        <v>0</v>
      </c>
      <c r="S65" s="53">
        <f t="shared" si="30"/>
        <v>0</v>
      </c>
      <c r="T65" s="53">
        <f t="shared" si="30"/>
        <v>0</v>
      </c>
      <c r="U65" s="53">
        <f t="shared" si="30"/>
        <v>0</v>
      </c>
      <c r="V65" s="53">
        <f t="shared" si="30"/>
        <v>0</v>
      </c>
      <c r="W65" s="54">
        <f t="shared" si="30"/>
        <v>0</v>
      </c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ht="15.75" thickBot="1" x14ac:dyDescent="0.3">
      <c r="A66" s="1"/>
      <c r="B66" s="1"/>
      <c r="C66" s="1"/>
      <c r="D66" s="1"/>
      <c r="E66" s="1"/>
      <c r="F66" s="55" t="s">
        <v>163</v>
      </c>
      <c r="G66" s="14"/>
      <c r="H66" s="56">
        <f>IF(AND($D$17&lt;=H$59, H$59&lt;=$D$18), $D$10, 0)</f>
        <v>0</v>
      </c>
      <c r="I66" s="56">
        <f t="shared" ref="I66:W66" si="31">IF(AND($D$17&lt;=I$59, I$59&lt;=$D$18), $D$10, 0)</f>
        <v>0.12</v>
      </c>
      <c r="J66" s="56">
        <f t="shared" si="31"/>
        <v>0.12</v>
      </c>
      <c r="K66" s="56">
        <f t="shared" si="31"/>
        <v>0.12</v>
      </c>
      <c r="L66" s="56">
        <f t="shared" si="31"/>
        <v>0</v>
      </c>
      <c r="M66" s="56">
        <f t="shared" si="31"/>
        <v>0</v>
      </c>
      <c r="N66" s="56">
        <f t="shared" si="31"/>
        <v>0</v>
      </c>
      <c r="O66" s="56">
        <f t="shared" si="31"/>
        <v>0</v>
      </c>
      <c r="P66" s="56">
        <f t="shared" si="31"/>
        <v>0</v>
      </c>
      <c r="Q66" s="56">
        <f t="shared" si="31"/>
        <v>0</v>
      </c>
      <c r="R66" s="56">
        <f t="shared" si="31"/>
        <v>0</v>
      </c>
      <c r="S66" s="56">
        <f t="shared" si="31"/>
        <v>0</v>
      </c>
      <c r="T66" s="56">
        <f t="shared" si="31"/>
        <v>0</v>
      </c>
      <c r="U66" s="56">
        <f t="shared" si="31"/>
        <v>0</v>
      </c>
      <c r="V66" s="56">
        <f t="shared" si="31"/>
        <v>0</v>
      </c>
      <c r="W66" s="132">
        <f t="shared" si="31"/>
        <v>0</v>
      </c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ht="15.75" thickBot="1" x14ac:dyDescent="0.3">
      <c r="A67" s="1"/>
      <c r="B67" s="1"/>
      <c r="C67" s="1"/>
      <c r="D67" s="1"/>
      <c r="E67" s="1"/>
      <c r="F67" s="12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1"/>
      <c r="D68" s="1"/>
      <c r="E68" s="1"/>
      <c r="F68" s="49" t="s">
        <v>178</v>
      </c>
      <c r="G68" s="9"/>
      <c r="H68" s="50">
        <f>IF(AND(H59&gt;=$D$17, H59&lt;=$D$18), H13, 0)</f>
        <v>0</v>
      </c>
      <c r="I68" s="50">
        <f t="shared" ref="I68:W68" si="32">IF(AND(I59&gt;=$D$17, I59&lt;=$D$18), I13, 0)</f>
        <v>0.96950000000000003</v>
      </c>
      <c r="J68" s="50">
        <f t="shared" si="32"/>
        <v>0.95740000000000003</v>
      </c>
      <c r="K68" s="50">
        <f t="shared" si="32"/>
        <v>0.94550000000000001</v>
      </c>
      <c r="L68" s="50">
        <f t="shared" si="32"/>
        <v>0</v>
      </c>
      <c r="M68" s="50">
        <f t="shared" si="32"/>
        <v>0</v>
      </c>
      <c r="N68" s="50">
        <f t="shared" si="32"/>
        <v>0</v>
      </c>
      <c r="O68" s="50">
        <f t="shared" si="32"/>
        <v>0</v>
      </c>
      <c r="P68" s="50">
        <f t="shared" si="32"/>
        <v>0</v>
      </c>
      <c r="Q68" s="50">
        <f t="shared" si="32"/>
        <v>0</v>
      </c>
      <c r="R68" s="50">
        <f t="shared" si="32"/>
        <v>0</v>
      </c>
      <c r="S68" s="50">
        <f t="shared" si="32"/>
        <v>0</v>
      </c>
      <c r="T68" s="50">
        <f t="shared" si="32"/>
        <v>0</v>
      </c>
      <c r="U68" s="50">
        <f t="shared" si="32"/>
        <v>0</v>
      </c>
      <c r="V68" s="50">
        <f t="shared" si="32"/>
        <v>0</v>
      </c>
      <c r="W68" s="51">
        <f t="shared" si="32"/>
        <v>0</v>
      </c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ht="15.75" thickBot="1" x14ac:dyDescent="0.3">
      <c r="A69" s="1"/>
      <c r="B69" s="1"/>
      <c r="C69" s="1"/>
      <c r="D69" s="1"/>
      <c r="E69" s="1"/>
      <c r="F69" s="55" t="s">
        <v>177</v>
      </c>
      <c r="G69" s="14"/>
      <c r="H69" s="56"/>
      <c r="I69" s="56">
        <f t="array" ref="I69:W69">TRANSPOSE(AC19:AC33)</f>
        <v>0.98416404425946613</v>
      </c>
      <c r="J69" s="56">
        <v>0.97188102730687242</v>
      </c>
      <c r="K69" s="56">
        <v>0.95980103542787543</v>
      </c>
      <c r="L69" s="56">
        <v>0</v>
      </c>
      <c r="M69" s="56">
        <v>0</v>
      </c>
      <c r="N69" s="56">
        <v>0</v>
      </c>
      <c r="O69" s="56">
        <v>0</v>
      </c>
      <c r="P69" s="56">
        <v>0</v>
      </c>
      <c r="Q69" s="56">
        <v>0</v>
      </c>
      <c r="R69" s="56">
        <v>0</v>
      </c>
      <c r="S69" s="56">
        <v>0</v>
      </c>
      <c r="T69" s="56">
        <v>0</v>
      </c>
      <c r="U69" s="56">
        <v>0</v>
      </c>
      <c r="V69" s="56">
        <v>0</v>
      </c>
      <c r="W69" s="132">
        <v>0</v>
      </c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ht="15.75" thickBot="1" x14ac:dyDescent="0.3">
      <c r="A70" s="1"/>
      <c r="B70" s="1"/>
      <c r="C70" s="1"/>
      <c r="D70" s="1"/>
      <c r="E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1"/>
      <c r="D71" s="1"/>
      <c r="E71" s="1"/>
      <c r="F71" s="49" t="s">
        <v>180</v>
      </c>
      <c r="G71" s="9"/>
      <c r="H71" s="51" cm="1">
        <f t="array" ref="H71">LOOKUP(2,1/(I69:W69&lt;&gt;0),I69:W69)</f>
        <v>0.95980103542787543</v>
      </c>
      <c r="I71" s="1"/>
      <c r="J71" s="1"/>
      <c r="K71" s="1"/>
      <c r="L71" s="1"/>
      <c r="M71" s="1"/>
      <c r="N71" s="1"/>
      <c r="O71" s="1"/>
      <c r="P71" s="1"/>
      <c r="Q71" s="1"/>
      <c r="R71" s="8" t="s">
        <v>135</v>
      </c>
      <c r="S71" s="21">
        <v>10</v>
      </c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ht="15.75" thickBot="1" x14ac:dyDescent="0.3">
      <c r="A72" s="1"/>
      <c r="B72" s="1"/>
      <c r="C72" s="1"/>
      <c r="D72" s="1"/>
      <c r="E72" s="1"/>
      <c r="F72" s="136" t="s">
        <v>179</v>
      </c>
      <c r="G72" s="1"/>
      <c r="H72" s="54">
        <f>(1-H71)/($D$9*SUM(I69:W69))</f>
        <v>2.7572761453836452E-2</v>
      </c>
      <c r="I72" s="1"/>
      <c r="J72" s="137" t="s">
        <v>193</v>
      </c>
      <c r="K72" s="1"/>
      <c r="L72" s="1"/>
      <c r="M72" s="1"/>
      <c r="N72" s="1"/>
      <c r="O72" s="1"/>
      <c r="P72" s="1"/>
      <c r="Q72" s="1"/>
      <c r="R72" s="13" t="s">
        <v>161</v>
      </c>
      <c r="S72" s="132">
        <f>H72+S71/10000</f>
        <v>2.8572761453836453E-2</v>
      </c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ht="15.75" thickBot="1" x14ac:dyDescent="0.3">
      <c r="A73" s="1"/>
      <c r="B73" s="1"/>
      <c r="C73" s="1"/>
      <c r="D73" s="1"/>
      <c r="E73" s="1"/>
      <c r="F73" s="55" t="s">
        <v>181</v>
      </c>
      <c r="G73" s="14"/>
      <c r="H73" s="132">
        <f>SUM(H68:W68)</f>
        <v>2.8723999999999998</v>
      </c>
      <c r="I73" s="1"/>
      <c r="J73" s="137" t="s">
        <v>182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ht="15.75" thickBo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x14ac:dyDescent="0.25">
      <c r="A75" s="1"/>
      <c r="B75" s="1"/>
      <c r="C75" s="1"/>
      <c r="D75" s="1"/>
      <c r="E75" s="1"/>
      <c r="F75" s="49" t="s">
        <v>166</v>
      </c>
      <c r="G75" s="9"/>
      <c r="H75" s="51">
        <f>(LN($H$72/I64)+((I66^2)/2*(I65-$H$11)))/(I66*SQRT(I65-$H$11))</f>
        <v>-0.37742396875320927</v>
      </c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1"/>
      <c r="D76" s="1"/>
      <c r="E76" s="1"/>
      <c r="F76" s="52" t="s">
        <v>167</v>
      </c>
      <c r="G76" s="1"/>
      <c r="H76" s="54">
        <f>H75-I66*SQRT(I65-H11)</f>
        <v>-0.46227678249559501</v>
      </c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x14ac:dyDescent="0.25">
      <c r="A77" s="1"/>
      <c r="B77" s="1"/>
      <c r="C77" s="1"/>
      <c r="D77" s="1"/>
      <c r="E77" s="1"/>
      <c r="F77" s="52" t="s">
        <v>168</v>
      </c>
      <c r="G77" s="1"/>
      <c r="H77" s="54">
        <f>_xlfn.NORM.S.DIST(H75, TRUE)</f>
        <v>0.3529292786221635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ht="15.75" thickBot="1" x14ac:dyDescent="0.3">
      <c r="A78" s="1"/>
      <c r="B78" s="1"/>
      <c r="C78" s="1"/>
      <c r="D78" s="1"/>
      <c r="E78" s="1"/>
      <c r="F78" s="55" t="s">
        <v>169</v>
      </c>
      <c r="G78" s="14"/>
      <c r="H78" s="132">
        <f>_xlfn.NORM.S.DIST(H76, TRUE)</f>
        <v>0.32194142356442923</v>
      </c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ht="15.75" thickBot="1" x14ac:dyDescent="0.3">
      <c r="A79" s="1"/>
      <c r="B79" s="1"/>
      <c r="C79" s="1"/>
      <c r="D79" s="1"/>
      <c r="E79" s="1"/>
      <c r="F79" s="12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x14ac:dyDescent="0.25">
      <c r="A80" s="1"/>
      <c r="B80" s="1"/>
      <c r="C80" s="1"/>
      <c r="D80" s="1"/>
      <c r="E80" s="1"/>
      <c r="F80" s="49" t="s">
        <v>183</v>
      </c>
      <c r="G80" s="9"/>
      <c r="H80" s="134">
        <f>I61*I62*H73*(H72*H77-I64*H78)</f>
        <v>3823.7339388151977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ht="15.75" thickBot="1" x14ac:dyDescent="0.3">
      <c r="A81" s="1"/>
      <c r="B81" s="1"/>
      <c r="C81" s="1"/>
      <c r="D81" s="1"/>
      <c r="E81" s="1"/>
      <c r="F81" s="55" t="s">
        <v>184</v>
      </c>
      <c r="G81" s="14"/>
      <c r="H81" s="135">
        <f>H80-I61*H73*I62*(H72-I64)</f>
        <v>11004.733938815203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1"/>
      <c r="D83" s="1"/>
      <c r="E83" s="1"/>
      <c r="F83" s="128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1"/>
      <c r="D84" s="1"/>
      <c r="E84" s="1"/>
      <c r="F84" s="128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</sheetData>
  <mergeCells count="3">
    <mergeCell ref="B2:F2"/>
    <mergeCell ref="B4:G4"/>
    <mergeCell ref="H12:J12"/>
  </mergeCells>
  <conditionalFormatting sqref="H9:W9">
    <cfRule type="expression" dxfId="5" priority="1">
      <formula>H7&lt;=$D$12</formula>
    </cfRule>
    <cfRule type="expression" dxfId="4" priority="2">
      <formula>H7&gt;$D$12</formula>
    </cfRule>
  </conditionalFormatting>
  <conditionalFormatting sqref="H13:W13">
    <cfRule type="expression" dxfId="3" priority="3">
      <formula>H7&gt;$D$12</formula>
    </cfRule>
    <cfRule type="expression" dxfId="2" priority="4">
      <formula>H7&gt;$D$12</formula>
    </cfRule>
  </conditionalFormatting>
  <conditionalFormatting sqref="H54 X54 AB54 AR54">
    <cfRule type="expression" dxfId="1" priority="5">
      <formula>AND(#REF!=$D$18+$D$9, I$17=$D$17+$D$9)</formula>
    </cfRule>
  </conditionalFormatting>
  <conditionalFormatting sqref="H17:X33 AB17:AR33 H38:X40 AB38:AR40 H41:H53 J41:X53 AB41:AB53 AD41:AR53 I41:I54 AC41:AC54 J54:W54 AD54:AQ54">
    <cfRule type="expression" dxfId="0" priority="6">
      <formula>AND($H18=$D$18+$D$9, I$17=$D$17+$D$9)</formula>
    </cfRule>
  </conditionalFormatting>
  <dataValidations count="2">
    <dataValidation type="list" allowBlank="1" showInputMessage="1" showErrorMessage="1" sqref="D8" xr:uid="{56D179D9-989F-4F62-80A8-1FE669117304}">
      <formula1>"1,2,4,Continuous"</formula1>
    </dataValidation>
    <dataValidation type="list" allowBlank="1" showInputMessage="1" showErrorMessage="1" sqref="G35" xr:uid="{95D83055-6BF7-491F-9064-7722D86A8465}">
      <formula1>"1,2,4,Cont"</formula1>
    </dataValidation>
  </dataValidations>
  <hyperlinks>
    <hyperlink ref="H12" location="'Rate and discount'!B27" display="'Rate and discount'!B27" xr:uid="{B3B01C20-42AF-44E9-8BE3-BABCD3C8FA4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802E-8581-48AA-9766-2881E105489B}">
  <dimension ref="A1"/>
  <sheetViews>
    <sheetView workbookViewId="0">
      <selection activeCell="G18" sqref="G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Resume</vt:lpstr>
      <vt:lpstr>Rate and discount</vt:lpstr>
      <vt:lpstr>Bond pricing</vt:lpstr>
      <vt:lpstr>Duration &amp; Convexity</vt:lpstr>
      <vt:lpstr>Forwards on bonds</vt:lpstr>
      <vt:lpstr>FRA - Forward Rate Agreement</vt:lpstr>
      <vt:lpstr>IRS - Interest Rate Swap</vt:lpstr>
      <vt:lpstr>Caps &amp; Floors</vt:lpstr>
      <vt:lpstr>Swaptions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Duquenne</dc:creator>
  <cp:lastModifiedBy>Andreas Duquenne</cp:lastModifiedBy>
  <dcterms:created xsi:type="dcterms:W3CDTF">2024-06-20T20:22:33Z</dcterms:created>
  <dcterms:modified xsi:type="dcterms:W3CDTF">2024-07-15T14:11:54Z</dcterms:modified>
</cp:coreProperties>
</file>