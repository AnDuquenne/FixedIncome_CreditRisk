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dadou\Documents\Github\FixedIncome_CreditRisk\FixedIncome-CheatProgram\"/>
    </mc:Choice>
  </mc:AlternateContent>
  <xr:revisionPtr revIDLastSave="0" documentId="13_ncr:1_{F01AD31C-0045-450F-8F4D-ECD2D6EFDD74}" xr6:coauthVersionLast="47" xr6:coauthVersionMax="47" xr10:uidLastSave="{00000000-0000-0000-0000-000000000000}"/>
  <bookViews>
    <workbookView xWindow="19095" yWindow="0" windowWidth="38610" windowHeight="20985" activeTab="6" xr2:uid="{77F4B5DE-C807-4EE3-8874-A4C344818973}"/>
  </bookViews>
  <sheets>
    <sheet name="Resume" sheetId="1" r:id="rId1"/>
    <sheet name="Rate and discount" sheetId="3" r:id="rId2"/>
    <sheet name="Bond pricing" sheetId="2" r:id="rId3"/>
    <sheet name="Duration &amp; Convexity" sheetId="7" r:id="rId4"/>
    <sheet name="Forwards on bonds" sheetId="4" r:id="rId5"/>
    <sheet name="FRA - Forward Rate Agreement" sheetId="5" r:id="rId6"/>
    <sheet name="IRS - Interest Rate Swap" sheetId="6" r:id="rId7"/>
    <sheet name="Caps &amp; Floors" sheetId="8" r:id="rId8"/>
    <sheet name="Swaptions" sheetId="9" r:id="rId9"/>
    <sheet name="Sheet1" sheetId="10" r:id="rId10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D87" i="6" l="1"/>
  <c r="AE87" i="6"/>
  <c r="AF87" i="6"/>
  <c r="AG87" i="6"/>
  <c r="AH87" i="6"/>
  <c r="AI87" i="6"/>
  <c r="AJ87" i="6"/>
  <c r="AK87" i="6"/>
  <c r="AL87" i="6"/>
  <c r="AM87" i="6"/>
  <c r="AN87" i="6"/>
  <c r="AO87" i="6"/>
  <c r="AP87" i="6"/>
  <c r="AQ87" i="6"/>
  <c r="AD86" i="6"/>
  <c r="AE86" i="6"/>
  <c r="AF86" i="6"/>
  <c r="AG86" i="6"/>
  <c r="AH86" i="6"/>
  <c r="AI86" i="6"/>
  <c r="AJ86" i="6"/>
  <c r="AK86" i="6"/>
  <c r="AL86" i="6"/>
  <c r="AM86" i="6"/>
  <c r="AN86" i="6"/>
  <c r="AO86" i="6"/>
  <c r="AP86" i="6"/>
  <c r="AD85" i="6"/>
  <c r="AE85" i="6"/>
  <c r="AF85" i="6"/>
  <c r="AG85" i="6"/>
  <c r="AH85" i="6"/>
  <c r="AI85" i="6"/>
  <c r="AJ85" i="6"/>
  <c r="AK85" i="6"/>
  <c r="AL85" i="6"/>
  <c r="AM85" i="6"/>
  <c r="AN85" i="6"/>
  <c r="AO85" i="6"/>
  <c r="AD84" i="6"/>
  <c r="AE84" i="6"/>
  <c r="AF84" i="6"/>
  <c r="AG84" i="6"/>
  <c r="AH84" i="6"/>
  <c r="AI84" i="6"/>
  <c r="AJ84" i="6"/>
  <c r="AK84" i="6"/>
  <c r="AL84" i="6"/>
  <c r="AM84" i="6"/>
  <c r="AN84" i="6"/>
  <c r="AD83" i="6"/>
  <c r="AE83" i="6"/>
  <c r="AF83" i="6"/>
  <c r="AG83" i="6"/>
  <c r="AH83" i="6"/>
  <c r="AI83" i="6"/>
  <c r="AJ83" i="6"/>
  <c r="AK83" i="6"/>
  <c r="AL83" i="6"/>
  <c r="AM83" i="6"/>
  <c r="AD82" i="6"/>
  <c r="AE82" i="6"/>
  <c r="AF82" i="6"/>
  <c r="AG82" i="6"/>
  <c r="AH82" i="6"/>
  <c r="AI82" i="6"/>
  <c r="AJ82" i="6"/>
  <c r="AK82" i="6"/>
  <c r="AL82" i="6"/>
  <c r="AD81" i="6"/>
  <c r="AE81" i="6"/>
  <c r="AF81" i="6"/>
  <c r="AG81" i="6"/>
  <c r="AH81" i="6"/>
  <c r="AI81" i="6"/>
  <c r="AJ81" i="6"/>
  <c r="AK81" i="6"/>
  <c r="AD80" i="6"/>
  <c r="AE80" i="6"/>
  <c r="AF80" i="6"/>
  <c r="AG80" i="6"/>
  <c r="AH80" i="6"/>
  <c r="AI80" i="6"/>
  <c r="AJ80" i="6"/>
  <c r="AD79" i="6"/>
  <c r="AE79" i="6"/>
  <c r="AF79" i="6"/>
  <c r="AG79" i="6"/>
  <c r="AH79" i="6"/>
  <c r="AI79" i="6"/>
  <c r="AD78" i="6"/>
  <c r="AE78" i="6"/>
  <c r="AF78" i="6"/>
  <c r="AG78" i="6"/>
  <c r="AH78" i="6"/>
  <c r="AD77" i="6"/>
  <c r="AE77" i="6"/>
  <c r="AF77" i="6"/>
  <c r="AG77" i="6"/>
  <c r="AD76" i="6"/>
  <c r="AE76" i="6"/>
  <c r="AF76" i="6"/>
  <c r="AD75" i="6"/>
  <c r="AE75" i="6"/>
  <c r="AD74" i="6"/>
  <c r="AC74" i="6"/>
  <c r="AC75" i="6"/>
  <c r="AC76" i="6"/>
  <c r="AC77" i="6"/>
  <c r="AC78" i="6"/>
  <c r="AC79" i="6"/>
  <c r="AC80" i="6"/>
  <c r="AC81" i="6"/>
  <c r="AC82" i="6"/>
  <c r="AC83" i="6"/>
  <c r="AC84" i="6"/>
  <c r="AC85" i="6"/>
  <c r="AC86" i="6"/>
  <c r="AC87" i="6"/>
  <c r="AC73" i="6"/>
  <c r="AD66" i="6"/>
  <c r="AE66" i="6"/>
  <c r="AF66" i="6"/>
  <c r="AG66" i="6"/>
  <c r="AH66" i="6"/>
  <c r="AI66" i="6"/>
  <c r="AJ66" i="6"/>
  <c r="AK66" i="6"/>
  <c r="AL66" i="6"/>
  <c r="AM66" i="6"/>
  <c r="AN66" i="6"/>
  <c r="AO66" i="6"/>
  <c r="AP66" i="6"/>
  <c r="AQ66" i="6"/>
  <c r="AD65" i="6"/>
  <c r="AE65" i="6"/>
  <c r="AF65" i="6"/>
  <c r="AG65" i="6"/>
  <c r="AH65" i="6"/>
  <c r="AI65" i="6"/>
  <c r="AJ65" i="6"/>
  <c r="AK65" i="6"/>
  <c r="AL65" i="6"/>
  <c r="AM65" i="6"/>
  <c r="AN65" i="6"/>
  <c r="AO65" i="6"/>
  <c r="AP65" i="6"/>
  <c r="AD64" i="6"/>
  <c r="AE64" i="6"/>
  <c r="AF64" i="6"/>
  <c r="AG64" i="6"/>
  <c r="AH64" i="6"/>
  <c r="AI64" i="6"/>
  <c r="AJ64" i="6"/>
  <c r="AK64" i="6"/>
  <c r="AL64" i="6"/>
  <c r="AM64" i="6"/>
  <c r="AN64" i="6"/>
  <c r="AO64" i="6"/>
  <c r="AD63" i="6"/>
  <c r="AE63" i="6"/>
  <c r="AF63" i="6"/>
  <c r="AG63" i="6"/>
  <c r="AH63" i="6"/>
  <c r="AI63" i="6"/>
  <c r="AJ63" i="6"/>
  <c r="AK63" i="6"/>
  <c r="AL63" i="6"/>
  <c r="AM63" i="6"/>
  <c r="AN63" i="6"/>
  <c r="AD62" i="6"/>
  <c r="AE62" i="6"/>
  <c r="AF62" i="6"/>
  <c r="AG62" i="6"/>
  <c r="AH62" i="6"/>
  <c r="AI62" i="6"/>
  <c r="AJ62" i="6"/>
  <c r="AK62" i="6"/>
  <c r="AL62" i="6"/>
  <c r="AM62" i="6"/>
  <c r="AD61" i="6"/>
  <c r="AE61" i="6"/>
  <c r="AF61" i="6"/>
  <c r="AG61" i="6"/>
  <c r="AH61" i="6"/>
  <c r="AI61" i="6"/>
  <c r="AJ61" i="6"/>
  <c r="AK61" i="6"/>
  <c r="AL61" i="6"/>
  <c r="AD60" i="6"/>
  <c r="AE60" i="6"/>
  <c r="AF60" i="6"/>
  <c r="AG60" i="6"/>
  <c r="AH60" i="6"/>
  <c r="AI60" i="6"/>
  <c r="AJ60" i="6"/>
  <c r="AK60" i="6"/>
  <c r="AD59" i="6"/>
  <c r="AE59" i="6"/>
  <c r="AF59" i="6"/>
  <c r="AG59" i="6"/>
  <c r="AH59" i="6"/>
  <c r="AI59" i="6"/>
  <c r="AJ59" i="6"/>
  <c r="AD58" i="6"/>
  <c r="AE58" i="6"/>
  <c r="AF58" i="6"/>
  <c r="AG58" i="6"/>
  <c r="AH58" i="6"/>
  <c r="AI58" i="6"/>
  <c r="AD57" i="6"/>
  <c r="AE57" i="6"/>
  <c r="AF57" i="6"/>
  <c r="AG57" i="6"/>
  <c r="AH57" i="6"/>
  <c r="AD56" i="6"/>
  <c r="AE56" i="6"/>
  <c r="AF56" i="6"/>
  <c r="AG56" i="6"/>
  <c r="AD55" i="6"/>
  <c r="AE55" i="6"/>
  <c r="AF55" i="6"/>
  <c r="AD54" i="6"/>
  <c r="AE54" i="6"/>
  <c r="AC53" i="6"/>
  <c r="AC54" i="6"/>
  <c r="AC55" i="6"/>
  <c r="AC56" i="6"/>
  <c r="AC57" i="6"/>
  <c r="AC58" i="6"/>
  <c r="AC59" i="6"/>
  <c r="AC60" i="6"/>
  <c r="AC61" i="6"/>
  <c r="AC62" i="6"/>
  <c r="AC63" i="6"/>
  <c r="AC64" i="6"/>
  <c r="AC65" i="6"/>
  <c r="AC66" i="6"/>
  <c r="AD53" i="6"/>
  <c r="AC52" i="6"/>
  <c r="J87" i="6"/>
  <c r="K87" i="6"/>
  <c r="L87" i="6"/>
  <c r="M87" i="6"/>
  <c r="N87" i="6"/>
  <c r="O87" i="6"/>
  <c r="P87" i="6"/>
  <c r="Q87" i="6"/>
  <c r="R87" i="6"/>
  <c r="S87" i="6"/>
  <c r="T87" i="6"/>
  <c r="U87" i="6"/>
  <c r="V87" i="6"/>
  <c r="W87" i="6"/>
  <c r="J86" i="6"/>
  <c r="K86" i="6"/>
  <c r="L86" i="6"/>
  <c r="M86" i="6"/>
  <c r="N86" i="6"/>
  <c r="O86" i="6"/>
  <c r="P86" i="6"/>
  <c r="Q86" i="6"/>
  <c r="R86" i="6"/>
  <c r="S86" i="6"/>
  <c r="T86" i="6"/>
  <c r="U86" i="6"/>
  <c r="V86" i="6"/>
  <c r="J85" i="6"/>
  <c r="K85" i="6"/>
  <c r="L85" i="6"/>
  <c r="M85" i="6"/>
  <c r="N85" i="6"/>
  <c r="O85" i="6"/>
  <c r="P85" i="6"/>
  <c r="Q85" i="6"/>
  <c r="R85" i="6"/>
  <c r="S85" i="6"/>
  <c r="T85" i="6"/>
  <c r="U85" i="6"/>
  <c r="J84" i="6"/>
  <c r="K84" i="6"/>
  <c r="L84" i="6"/>
  <c r="M84" i="6"/>
  <c r="N84" i="6"/>
  <c r="O84" i="6"/>
  <c r="P84" i="6"/>
  <c r="Q84" i="6"/>
  <c r="R84" i="6"/>
  <c r="S84" i="6"/>
  <c r="T84" i="6"/>
  <c r="J83" i="6"/>
  <c r="K83" i="6"/>
  <c r="L83" i="6"/>
  <c r="M83" i="6"/>
  <c r="N83" i="6"/>
  <c r="O83" i="6"/>
  <c r="P83" i="6"/>
  <c r="Q83" i="6"/>
  <c r="R83" i="6"/>
  <c r="S83" i="6"/>
  <c r="J82" i="6"/>
  <c r="K82" i="6"/>
  <c r="L82" i="6"/>
  <c r="M82" i="6"/>
  <c r="N82" i="6"/>
  <c r="O82" i="6"/>
  <c r="P82" i="6"/>
  <c r="Q82" i="6"/>
  <c r="R82" i="6"/>
  <c r="J81" i="6"/>
  <c r="K81" i="6"/>
  <c r="L81" i="6"/>
  <c r="M81" i="6"/>
  <c r="N81" i="6"/>
  <c r="O81" i="6"/>
  <c r="P81" i="6"/>
  <c r="Q81" i="6"/>
  <c r="J80" i="6"/>
  <c r="K80" i="6"/>
  <c r="L80" i="6"/>
  <c r="M80" i="6"/>
  <c r="N80" i="6"/>
  <c r="O80" i="6"/>
  <c r="P80" i="6"/>
  <c r="J79" i="6"/>
  <c r="K79" i="6"/>
  <c r="L79" i="6"/>
  <c r="M79" i="6"/>
  <c r="N79" i="6"/>
  <c r="O79" i="6"/>
  <c r="J78" i="6"/>
  <c r="K78" i="6"/>
  <c r="L78" i="6"/>
  <c r="M78" i="6"/>
  <c r="N78" i="6"/>
  <c r="J77" i="6"/>
  <c r="K77" i="6"/>
  <c r="L77" i="6"/>
  <c r="M77" i="6"/>
  <c r="J76" i="6"/>
  <c r="K76" i="6"/>
  <c r="L76" i="6"/>
  <c r="J75" i="6"/>
  <c r="K75" i="6"/>
  <c r="J74" i="6"/>
  <c r="I74" i="6"/>
  <c r="I75" i="6"/>
  <c r="I76" i="6"/>
  <c r="I77" i="6"/>
  <c r="I78" i="6"/>
  <c r="I79" i="6"/>
  <c r="I80" i="6"/>
  <c r="I81" i="6"/>
  <c r="I82" i="6"/>
  <c r="I83" i="6"/>
  <c r="I84" i="6"/>
  <c r="I85" i="6"/>
  <c r="I86" i="6"/>
  <c r="I87" i="6"/>
  <c r="I73" i="6"/>
  <c r="AB72" i="6" a="1"/>
  <c r="AB72" i="6" s="1"/>
  <c r="H72" i="6" a="1"/>
  <c r="H72" i="6" s="1"/>
  <c r="AB51" i="6" a="1"/>
  <c r="AB51" i="6"/>
  <c r="AB52" i="6"/>
  <c r="AB53" i="6"/>
  <c r="AB54" i="6"/>
  <c r="AB55" i="6"/>
  <c r="AB56" i="6"/>
  <c r="AB57" i="6"/>
  <c r="AB58" i="6"/>
  <c r="AB59" i="6"/>
  <c r="AB60" i="6"/>
  <c r="AB61" i="6"/>
  <c r="AB62" i="6"/>
  <c r="AB63" i="6"/>
  <c r="AB64" i="6"/>
  <c r="AB65" i="6"/>
  <c r="AB66" i="6"/>
  <c r="H51" i="6" a="1"/>
  <c r="H51" i="6" s="1"/>
  <c r="H56" i="6"/>
  <c r="H57" i="6"/>
  <c r="H58" i="6"/>
  <c r="H59" i="6"/>
  <c r="H60" i="6"/>
  <c r="H61" i="6"/>
  <c r="H62" i="6"/>
  <c r="I46" i="6"/>
  <c r="J46" i="6"/>
  <c r="AE70" i="6" s="1"/>
  <c r="K46" i="6"/>
  <c r="L46" i="6"/>
  <c r="M46" i="6"/>
  <c r="N46" i="6"/>
  <c r="O46" i="6"/>
  <c r="AJ49" i="6" s="1"/>
  <c r="P46" i="6"/>
  <c r="Q46" i="6"/>
  <c r="AL70" i="6" s="1"/>
  <c r="R46" i="6"/>
  <c r="AM70" i="6" s="1"/>
  <c r="S46" i="6"/>
  <c r="AN70" i="6" s="1"/>
  <c r="T46" i="6"/>
  <c r="AO49" i="6" s="1"/>
  <c r="U46" i="6"/>
  <c r="V46" i="6"/>
  <c r="AQ49" i="6" s="1"/>
  <c r="W46" i="6"/>
  <c r="H46" i="6"/>
  <c r="AC70" i="6" s="1"/>
  <c r="W66" i="6"/>
  <c r="V66" i="6"/>
  <c r="V65" i="6"/>
  <c r="U65" i="6"/>
  <c r="U66" i="6"/>
  <c r="U64" i="6"/>
  <c r="T64" i="6"/>
  <c r="T65" i="6"/>
  <c r="T66" i="6"/>
  <c r="T63" i="6"/>
  <c r="S63" i="6"/>
  <c r="S64" i="6"/>
  <c r="S65" i="6"/>
  <c r="S66" i="6"/>
  <c r="S62" i="6"/>
  <c r="R62" i="6"/>
  <c r="R63" i="6"/>
  <c r="R64" i="6"/>
  <c r="R65" i="6"/>
  <c r="R66" i="6"/>
  <c r="R61" i="6"/>
  <c r="Q61" i="6"/>
  <c r="Q62" i="6"/>
  <c r="Q63" i="6"/>
  <c r="Q64" i="6"/>
  <c r="Q65" i="6"/>
  <c r="Q66" i="6"/>
  <c r="Q60" i="6"/>
  <c r="P60" i="6"/>
  <c r="P61" i="6"/>
  <c r="P62" i="6"/>
  <c r="P63" i="6"/>
  <c r="P64" i="6"/>
  <c r="P65" i="6"/>
  <c r="P66" i="6"/>
  <c r="P59" i="6"/>
  <c r="O59" i="6"/>
  <c r="O60" i="6"/>
  <c r="O61" i="6"/>
  <c r="O62" i="6"/>
  <c r="O63" i="6"/>
  <c r="O64" i="6"/>
  <c r="O65" i="6"/>
  <c r="O66" i="6"/>
  <c r="O58" i="6"/>
  <c r="N58" i="6"/>
  <c r="N59" i="6"/>
  <c r="N60" i="6"/>
  <c r="N61" i="6"/>
  <c r="N62" i="6"/>
  <c r="N63" i="6"/>
  <c r="N64" i="6"/>
  <c r="N65" i="6"/>
  <c r="N66" i="6"/>
  <c r="N57" i="6"/>
  <c r="M57" i="6"/>
  <c r="M58" i="6"/>
  <c r="M59" i="6"/>
  <c r="M60" i="6"/>
  <c r="M61" i="6"/>
  <c r="M62" i="6"/>
  <c r="M63" i="6"/>
  <c r="M64" i="6"/>
  <c r="M65" i="6"/>
  <c r="M66" i="6"/>
  <c r="M56" i="6"/>
  <c r="L56" i="6"/>
  <c r="L57" i="6"/>
  <c r="L58" i="6"/>
  <c r="L59" i="6"/>
  <c r="L60" i="6"/>
  <c r="L61" i="6"/>
  <c r="L62" i="6"/>
  <c r="L63" i="6"/>
  <c r="L64" i="6"/>
  <c r="L65" i="6"/>
  <c r="L66" i="6"/>
  <c r="L55" i="6"/>
  <c r="K55" i="6"/>
  <c r="K56" i="6"/>
  <c r="K57" i="6"/>
  <c r="K58" i="6"/>
  <c r="K59" i="6"/>
  <c r="K60" i="6"/>
  <c r="K61" i="6"/>
  <c r="K62" i="6"/>
  <c r="K63" i="6"/>
  <c r="K64" i="6"/>
  <c r="K65" i="6"/>
  <c r="K66" i="6"/>
  <c r="K54" i="6"/>
  <c r="J54" i="6"/>
  <c r="J55" i="6"/>
  <c r="J56" i="6"/>
  <c r="J57" i="6"/>
  <c r="J58" i="6"/>
  <c r="J59" i="6"/>
  <c r="J60" i="6"/>
  <c r="J61" i="6"/>
  <c r="J62" i="6"/>
  <c r="J63" i="6"/>
  <c r="J64" i="6"/>
  <c r="J65" i="6"/>
  <c r="J66" i="6"/>
  <c r="J53" i="6"/>
  <c r="I53" i="6"/>
  <c r="I54" i="6"/>
  <c r="I55" i="6"/>
  <c r="I56" i="6"/>
  <c r="I57" i="6"/>
  <c r="I58" i="6"/>
  <c r="I59" i="6"/>
  <c r="I60" i="6"/>
  <c r="I61" i="6"/>
  <c r="I62" i="6"/>
  <c r="I63" i="6"/>
  <c r="I64" i="6"/>
  <c r="I65" i="6"/>
  <c r="I66" i="6"/>
  <c r="I52" i="6"/>
  <c r="G84" i="6"/>
  <c r="G72" i="6" a="1"/>
  <c r="S71" i="6"/>
  <c r="AQ70" i="6"/>
  <c r="AP70" i="6"/>
  <c r="AO70" i="6"/>
  <c r="AF70" i="6"/>
  <c r="AD70" i="6"/>
  <c r="X70" i="6"/>
  <c r="W70" i="6"/>
  <c r="V70" i="6"/>
  <c r="U70" i="6"/>
  <c r="T70" i="6"/>
  <c r="S70" i="6"/>
  <c r="R70" i="6"/>
  <c r="Q70" i="6"/>
  <c r="P70" i="6"/>
  <c r="O70" i="6"/>
  <c r="N70" i="6"/>
  <c r="M70" i="6"/>
  <c r="L70" i="6"/>
  <c r="K70" i="6"/>
  <c r="J70" i="6"/>
  <c r="I70" i="6"/>
  <c r="G51" i="6" a="1"/>
  <c r="G51" i="6" s="1"/>
  <c r="AN50" i="6"/>
  <c r="AN71" i="6" s="1"/>
  <c r="AG50" i="6"/>
  <c r="AG71" i="6" s="1"/>
  <c r="AB50" i="6"/>
  <c r="M50" i="6"/>
  <c r="H50" i="6"/>
  <c r="AR49" i="6"/>
  <c r="AP49" i="6"/>
  <c r="AF49" i="6"/>
  <c r="AE49" i="6"/>
  <c r="AD49" i="6"/>
  <c r="AC49" i="6"/>
  <c r="I49" i="6"/>
  <c r="I49" i="6" a="1"/>
  <c r="AR70" i="6"/>
  <c r="AH70" i="6"/>
  <c r="AG70" i="6"/>
  <c r="AA51" i="6" a="1"/>
  <c r="D42" i="6"/>
  <c r="W41" i="6" a="1"/>
  <c r="W41" i="6" s="1"/>
  <c r="V41" i="6" a="1"/>
  <c r="V41" i="6" s="1"/>
  <c r="U41" i="6" a="1"/>
  <c r="U41" i="6" s="1"/>
  <c r="T41" i="6"/>
  <c r="T41" i="6" a="1"/>
  <c r="S41" i="6" a="1"/>
  <c r="S41" i="6" s="1"/>
  <c r="T71" i="6" s="1"/>
  <c r="R41" i="6" a="1"/>
  <c r="R41" i="6" s="1"/>
  <c r="AM50" i="6" s="1"/>
  <c r="AM71" i="6" s="1"/>
  <c r="Q41" i="6" a="1"/>
  <c r="Q41" i="6" s="1"/>
  <c r="P41" i="6" a="1"/>
  <c r="P41" i="6" s="1"/>
  <c r="O41" i="6" a="1"/>
  <c r="O41" i="6" s="1"/>
  <c r="N41" i="6" a="1"/>
  <c r="N41" i="6" s="1"/>
  <c r="M41" i="6" a="1"/>
  <c r="M41" i="6" s="1"/>
  <c r="N50" i="6" s="1"/>
  <c r="L41" i="6" a="1"/>
  <c r="L41" i="6" s="1"/>
  <c r="M71" i="6" s="1"/>
  <c r="K41" i="6" a="1"/>
  <c r="K41" i="6" s="1"/>
  <c r="J41" i="6" a="1"/>
  <c r="J41" i="6" s="1"/>
  <c r="I41" i="6" a="1"/>
  <c r="I41" i="6" s="1"/>
  <c r="H41" i="6" a="1"/>
  <c r="H41" i="6" s="1"/>
  <c r="H11" i="6" a="1"/>
  <c r="H11" i="6"/>
  <c r="I11" i="6" a="1"/>
  <c r="I11" i="6" s="1"/>
  <c r="J11" i="6" a="1"/>
  <c r="J11" i="6" s="1"/>
  <c r="K11" i="6" a="1"/>
  <c r="K11" i="6"/>
  <c r="L11" i="6" a="1"/>
  <c r="L11" i="6"/>
  <c r="M11" i="6" a="1"/>
  <c r="M11" i="6"/>
  <c r="N11" i="6" a="1"/>
  <c r="N11" i="6"/>
  <c r="O11" i="6" a="1"/>
  <c r="O11" i="6" s="1"/>
  <c r="P11" i="6" a="1"/>
  <c r="P11" i="6" s="1"/>
  <c r="Q11" i="6" a="1"/>
  <c r="Q11" i="6" s="1"/>
  <c r="R11" i="6" a="1"/>
  <c r="R11" i="6"/>
  <c r="S11" i="6" a="1"/>
  <c r="S11" i="6"/>
  <c r="T11" i="6" a="1"/>
  <c r="T11" i="6"/>
  <c r="U11" i="6" a="1"/>
  <c r="U11" i="6" s="1"/>
  <c r="V11" i="6" a="1"/>
  <c r="V11" i="6" s="1"/>
  <c r="W11" i="6" a="1"/>
  <c r="W11" i="6"/>
  <c r="G11" i="6" a="1"/>
  <c r="G11" i="6" s="1"/>
  <c r="I12" i="3"/>
  <c r="J12" i="3"/>
  <c r="K12" i="3"/>
  <c r="L12" i="3"/>
  <c r="M12" i="3"/>
  <c r="N12" i="3"/>
  <c r="O12" i="3"/>
  <c r="P12" i="3"/>
  <c r="Q12" i="3"/>
  <c r="R12" i="3"/>
  <c r="S12" i="3"/>
  <c r="T12" i="3"/>
  <c r="U12" i="3"/>
  <c r="V12" i="3"/>
  <c r="W12" i="3"/>
  <c r="H12" i="3"/>
  <c r="H60" i="5"/>
  <c r="H59" i="5"/>
  <c r="AB83" i="6" l="1"/>
  <c r="AB82" i="6"/>
  <c r="AB80" i="6"/>
  <c r="AB78" i="6"/>
  <c r="AB77" i="6"/>
  <c r="AB76" i="6"/>
  <c r="AB75" i="6"/>
  <c r="AB86" i="6"/>
  <c r="AB74" i="6"/>
  <c r="AB81" i="6"/>
  <c r="AB87" i="6"/>
  <c r="AB85" i="6"/>
  <c r="AB73" i="6"/>
  <c r="AB79" i="6"/>
  <c r="AB84" i="6"/>
  <c r="H78" i="6"/>
  <c r="H77" i="6"/>
  <c r="H79" i="6"/>
  <c r="H76" i="6"/>
  <c r="H83" i="6"/>
  <c r="H81" i="6"/>
  <c r="H80" i="6"/>
  <c r="H87" i="6"/>
  <c r="H75" i="6"/>
  <c r="H82" i="6"/>
  <c r="H86" i="6"/>
  <c r="H74" i="6"/>
  <c r="H85" i="6"/>
  <c r="H73" i="6"/>
  <c r="H84" i="6"/>
  <c r="H53" i="6"/>
  <c r="H55" i="6"/>
  <c r="H66" i="6"/>
  <c r="H54" i="6"/>
  <c r="H65" i="6"/>
  <c r="H64" i="6"/>
  <c r="H52" i="6"/>
  <c r="H63" i="6"/>
  <c r="AM49" i="6"/>
  <c r="AN49" i="6"/>
  <c r="AK50" i="6"/>
  <c r="AK71" i="6" s="1"/>
  <c r="Q71" i="6"/>
  <c r="Q50" i="6"/>
  <c r="AA60" i="6"/>
  <c r="AA58" i="6"/>
  <c r="AA57" i="6"/>
  <c r="AA56" i="6"/>
  <c r="AA66" i="6"/>
  <c r="AA55" i="6"/>
  <c r="AA65" i="6"/>
  <c r="AA62" i="6"/>
  <c r="AA64" i="6"/>
  <c r="AA52" i="6"/>
  <c r="AA63" i="6"/>
  <c r="AA59" i="6"/>
  <c r="AA54" i="6"/>
  <c r="AA61" i="6"/>
  <c r="AA51" i="6"/>
  <c r="AA53" i="6"/>
  <c r="AL50" i="6"/>
  <c r="AL71" i="6" s="1"/>
  <c r="R50" i="6"/>
  <c r="R71" i="6"/>
  <c r="AC50" i="6"/>
  <c r="AC71" i="6" s="1"/>
  <c r="I71" i="6"/>
  <c r="I50" i="6"/>
  <c r="J71" i="6"/>
  <c r="J50" i="6"/>
  <c r="AD50" i="6"/>
  <c r="AD71" i="6" s="1"/>
  <c r="K50" i="6"/>
  <c r="K71" i="6"/>
  <c r="AE50" i="6"/>
  <c r="AE71" i="6" s="1"/>
  <c r="V71" i="6"/>
  <c r="V50" i="6"/>
  <c r="AP50" i="6"/>
  <c r="AP71" i="6" s="1"/>
  <c r="L71" i="6"/>
  <c r="L50" i="6"/>
  <c r="AF50" i="6"/>
  <c r="AF71" i="6" s="1"/>
  <c r="W50" i="6"/>
  <c r="AQ50" i="6"/>
  <c r="AQ71" i="6" s="1"/>
  <c r="W71" i="6"/>
  <c r="X71" i="6"/>
  <c r="X50" i="6"/>
  <c r="AR50" i="6"/>
  <c r="AR71" i="6" s="1"/>
  <c r="O71" i="6"/>
  <c r="O50" i="6"/>
  <c r="AI50" i="6"/>
  <c r="AI71" i="6" s="1"/>
  <c r="P71" i="6"/>
  <c r="AJ50" i="6"/>
  <c r="AJ71" i="6" s="1"/>
  <c r="P50" i="6"/>
  <c r="AJ70" i="6"/>
  <c r="G78" i="6"/>
  <c r="G77" i="6"/>
  <c r="G87" i="6"/>
  <c r="G75" i="6"/>
  <c r="G86" i="6"/>
  <c r="G74" i="6"/>
  <c r="G85" i="6"/>
  <c r="G73" i="6"/>
  <c r="AH50" i="6"/>
  <c r="AH71" i="6" s="1"/>
  <c r="AG49" i="6"/>
  <c r="G60" i="6"/>
  <c r="G76" i="6"/>
  <c r="AI70" i="6"/>
  <c r="AI49" i="6"/>
  <c r="AK70" i="6"/>
  <c r="AK49" i="6"/>
  <c r="G79" i="6"/>
  <c r="G58" i="6"/>
  <c r="G56" i="6"/>
  <c r="G55" i="6"/>
  <c r="G66" i="6"/>
  <c r="G54" i="6"/>
  <c r="G52" i="6"/>
  <c r="G59" i="6"/>
  <c r="G72" i="6"/>
  <c r="AH49" i="6"/>
  <c r="AL49" i="6"/>
  <c r="G62" i="6"/>
  <c r="G80" i="6"/>
  <c r="S50" i="6"/>
  <c r="G63" i="6"/>
  <c r="G81" i="6"/>
  <c r="G53" i="6"/>
  <c r="T50" i="6"/>
  <c r="G64" i="6"/>
  <c r="N71" i="6"/>
  <c r="G82" i="6"/>
  <c r="AA72" i="6" a="1"/>
  <c r="AO50" i="6"/>
  <c r="AO71" i="6" s="1"/>
  <c r="U71" i="6"/>
  <c r="G57" i="6"/>
  <c r="G61" i="6"/>
  <c r="U50" i="6"/>
  <c r="G65" i="6"/>
  <c r="G83" i="6"/>
  <c r="AA80" i="6" l="1"/>
  <c r="AA79" i="6"/>
  <c r="AA77" i="6"/>
  <c r="AA76" i="6"/>
  <c r="AA87" i="6"/>
  <c r="AA75" i="6"/>
  <c r="AA86" i="6"/>
  <c r="AA74" i="6"/>
  <c r="AA72" i="6"/>
  <c r="AA84" i="6"/>
  <c r="AA73" i="6"/>
  <c r="AA85" i="6"/>
  <c r="AA83" i="6"/>
  <c r="AA82" i="6"/>
  <c r="AA78" i="6"/>
  <c r="AA81" i="6"/>
  <c r="H71" i="6"/>
  <c r="AB71" i="6"/>
  <c r="D18" i="8"/>
  <c r="G39" i="9" a="1"/>
  <c r="G52" i="9" s="1"/>
  <c r="AH37" i="9"/>
  <c r="X37" i="9"/>
  <c r="W37" i="9"/>
  <c r="V37" i="9"/>
  <c r="U37" i="9"/>
  <c r="T37" i="9"/>
  <c r="S37" i="9"/>
  <c r="R37" i="9"/>
  <c r="Q37" i="9"/>
  <c r="P37" i="9"/>
  <c r="O37" i="9"/>
  <c r="N37" i="9"/>
  <c r="M37" i="9"/>
  <c r="L37" i="9"/>
  <c r="K37" i="9"/>
  <c r="J37" i="9"/>
  <c r="I37" i="9"/>
  <c r="G18" i="9" a="1"/>
  <c r="G30" i="9" s="1"/>
  <c r="S30" i="9" s="1"/>
  <c r="S51" i="9" s="1"/>
  <c r="AB17" i="9"/>
  <c r="H17" i="9"/>
  <c r="I16" i="9" a="1"/>
  <c r="I16" i="9" s="1"/>
  <c r="W13" i="9"/>
  <c r="AR16" i="9" s="1"/>
  <c r="V13" i="9"/>
  <c r="AQ16" i="9" s="1"/>
  <c r="U13" i="9"/>
  <c r="AP37" i="9" s="1"/>
  <c r="T13" i="9"/>
  <c r="S13" i="9"/>
  <c r="AN16" i="9" s="1"/>
  <c r="R13" i="9"/>
  <c r="Q13" i="9"/>
  <c r="P13" i="9"/>
  <c r="O13" i="9"/>
  <c r="AJ16" i="9" s="1"/>
  <c r="N13" i="9"/>
  <c r="AI16" i="9" s="1"/>
  <c r="M13" i="9"/>
  <c r="AH16" i="9" s="1"/>
  <c r="L13" i="9"/>
  <c r="AG16" i="9" s="1"/>
  <c r="D9" i="9"/>
  <c r="J13" i="9" s="1"/>
  <c r="V8" i="9" a="1"/>
  <c r="V8" i="9" s="1"/>
  <c r="V59" i="9" s="1"/>
  <c r="O8" i="9" a="1"/>
  <c r="O8" i="9" s="1"/>
  <c r="S74" i="8" l="1"/>
  <c r="R74" i="8"/>
  <c r="O71" i="8"/>
  <c r="R73" i="8"/>
  <c r="M71" i="8"/>
  <c r="N72" i="8"/>
  <c r="P73" i="8"/>
  <c r="W71" i="8"/>
  <c r="K71" i="8"/>
  <c r="M72" i="8"/>
  <c r="O73" i="8"/>
  <c r="Q74" i="8"/>
  <c r="P74" i="8"/>
  <c r="O74" i="8"/>
  <c r="U74" i="8"/>
  <c r="Q73" i="8"/>
  <c r="L72" i="8"/>
  <c r="M73" i="8"/>
  <c r="T71" i="8"/>
  <c r="V72" i="8"/>
  <c r="L73" i="8"/>
  <c r="N74" i="8"/>
  <c r="Q72" i="8"/>
  <c r="P72" i="8"/>
  <c r="L71" i="8"/>
  <c r="V71" i="8"/>
  <c r="U71" i="8"/>
  <c r="U72" i="8"/>
  <c r="W73" i="8"/>
  <c r="K73" i="8"/>
  <c r="M74" i="8"/>
  <c r="S73" i="8"/>
  <c r="N71" i="8"/>
  <c r="O72" i="8"/>
  <c r="N73" i="8"/>
  <c r="K72" i="8"/>
  <c r="S71" i="8"/>
  <c r="R71" i="8"/>
  <c r="T72" i="8"/>
  <c r="V73" i="8"/>
  <c r="L74" i="8"/>
  <c r="W72" i="8"/>
  <c r="Q71" i="8"/>
  <c r="S72" i="8"/>
  <c r="U73" i="8"/>
  <c r="W74" i="8"/>
  <c r="K74" i="8"/>
  <c r="T74" i="8"/>
  <c r="P71" i="8"/>
  <c r="R72" i="8"/>
  <c r="T73" i="8"/>
  <c r="V74" i="8"/>
  <c r="D18" i="9"/>
  <c r="V65" i="9" s="1"/>
  <c r="K13" i="9"/>
  <c r="AF16" i="9" s="1"/>
  <c r="G32" i="9"/>
  <c r="N32" i="9" s="1"/>
  <c r="N53" i="9" s="1"/>
  <c r="G19" i="9"/>
  <c r="I19" i="9" s="1"/>
  <c r="G40" i="9"/>
  <c r="G33" i="9"/>
  <c r="M33" i="9" s="1"/>
  <c r="M54" i="9" s="1"/>
  <c r="G20" i="9"/>
  <c r="J20" i="9" s="1"/>
  <c r="G41" i="9"/>
  <c r="G21" i="9"/>
  <c r="K21" i="9" s="1"/>
  <c r="G42" i="9"/>
  <c r="G51" i="9"/>
  <c r="G23" i="9"/>
  <c r="J23" i="9" s="1"/>
  <c r="J44" i="9" s="1"/>
  <c r="P30" i="9"/>
  <c r="P51" i="9" s="1"/>
  <c r="G44" i="9"/>
  <c r="G26" i="9"/>
  <c r="I26" i="9" s="1"/>
  <c r="I47" i="9" s="1"/>
  <c r="T30" i="9"/>
  <c r="T51" i="9" s="1"/>
  <c r="G50" i="9"/>
  <c r="G22" i="9"/>
  <c r="G24" i="9"/>
  <c r="R30" i="9"/>
  <c r="R51" i="9" s="1"/>
  <c r="G45" i="9"/>
  <c r="G27" i="9"/>
  <c r="N27" i="9" s="1"/>
  <c r="N48" i="9" s="1"/>
  <c r="G31" i="9"/>
  <c r="N31" i="9" s="1"/>
  <c r="N52" i="9" s="1"/>
  <c r="G43" i="9"/>
  <c r="G25" i="9"/>
  <c r="G46" i="9"/>
  <c r="AI37" i="9"/>
  <c r="AK16" i="9"/>
  <c r="AL16" i="9"/>
  <c r="AJ37" i="9"/>
  <c r="AK37" i="9"/>
  <c r="AL37" i="9"/>
  <c r="AM16" i="9"/>
  <c r="AM37" i="9"/>
  <c r="P38" i="9"/>
  <c r="P17" i="9"/>
  <c r="AJ17" i="9"/>
  <c r="AJ38" i="9" s="1"/>
  <c r="O59" i="9"/>
  <c r="AE16" i="9"/>
  <c r="AE37" i="9"/>
  <c r="H8" i="9" a="1"/>
  <c r="H8" i="9" s="1"/>
  <c r="U8" i="9" a="1"/>
  <c r="U8" i="9" s="1"/>
  <c r="L32" i="9"/>
  <c r="L53" i="9" s="1"/>
  <c r="K32" i="9"/>
  <c r="K53" i="9" s="1"/>
  <c r="N8" i="9" a="1"/>
  <c r="N8" i="9" s="1"/>
  <c r="N30" i="9"/>
  <c r="N51" i="9" s="1"/>
  <c r="M30" i="9"/>
  <c r="M51" i="9" s="1"/>
  <c r="L30" i="9"/>
  <c r="L51" i="9" s="1"/>
  <c r="Q30" i="9"/>
  <c r="Q51" i="9" s="1"/>
  <c r="H13" i="9"/>
  <c r="P8" i="9" a="1"/>
  <c r="P8" i="9" s="1"/>
  <c r="I8" i="9" a="1"/>
  <c r="I8" i="9" s="1"/>
  <c r="R8" i="9" a="1"/>
  <c r="R8" i="9" s="1"/>
  <c r="T32" i="9"/>
  <c r="T53" i="9" s="1"/>
  <c r="AQ37" i="9"/>
  <c r="AR37" i="9"/>
  <c r="W8" i="9" a="1"/>
  <c r="W8" i="9" s="1"/>
  <c r="Q8" i="9" a="1"/>
  <c r="Q8" i="9" s="1"/>
  <c r="K8" i="9" a="1"/>
  <c r="K8" i="9" s="1"/>
  <c r="AO37" i="9"/>
  <c r="AO16" i="9"/>
  <c r="S8" i="9" a="1"/>
  <c r="S8" i="9" s="1"/>
  <c r="AP16" i="9"/>
  <c r="I30" i="9"/>
  <c r="I51" i="9" s="1"/>
  <c r="W38" i="9"/>
  <c r="AN37" i="9"/>
  <c r="I13" i="9"/>
  <c r="J8" i="9" a="1"/>
  <c r="J8" i="9" s="1"/>
  <c r="W17" i="9"/>
  <c r="J30" i="9"/>
  <c r="J51" i="9" s="1"/>
  <c r="G49" i="9"/>
  <c r="G48" i="9"/>
  <c r="G47" i="9"/>
  <c r="G53" i="9"/>
  <c r="L8" i="9" a="1"/>
  <c r="L8" i="9" s="1"/>
  <c r="T8" i="9" a="1"/>
  <c r="T8" i="9" s="1"/>
  <c r="K30" i="9"/>
  <c r="K51" i="9" s="1"/>
  <c r="G39" i="9"/>
  <c r="G54" i="9"/>
  <c r="M8" i="9" a="1"/>
  <c r="M8" i="9" s="1"/>
  <c r="AQ17" i="9"/>
  <c r="AQ38" i="9" s="1"/>
  <c r="O30" i="9"/>
  <c r="O51" i="9" s="1"/>
  <c r="AG37" i="9"/>
  <c r="G28" i="9"/>
  <c r="G29" i="9"/>
  <c r="G18" i="9"/>
  <c r="M32" i="9" l="1"/>
  <c r="M53" i="9" s="1"/>
  <c r="U32" i="9"/>
  <c r="U53" i="9" s="1"/>
  <c r="I20" i="9"/>
  <c r="I32" i="9"/>
  <c r="I53" i="9" s="1"/>
  <c r="J32" i="9"/>
  <c r="J53" i="9" s="1"/>
  <c r="J33" i="9"/>
  <c r="J54" i="9" s="1"/>
  <c r="V32" i="9"/>
  <c r="V53" i="9" s="1"/>
  <c r="Q32" i="9"/>
  <c r="Q53" i="9" s="1"/>
  <c r="AF37" i="9"/>
  <c r="O32" i="9"/>
  <c r="O53" i="9" s="1"/>
  <c r="S32" i="9"/>
  <c r="S53" i="9" s="1"/>
  <c r="Q33" i="9"/>
  <c r="Q54" i="9" s="1"/>
  <c r="J21" i="9"/>
  <c r="O33" i="9"/>
  <c r="O54" i="9" s="1"/>
  <c r="M27" i="9"/>
  <c r="M48" i="9" s="1"/>
  <c r="K33" i="9"/>
  <c r="K54" i="9" s="1"/>
  <c r="R33" i="9"/>
  <c r="R54" i="9" s="1"/>
  <c r="R31" i="9"/>
  <c r="R52" i="9" s="1"/>
  <c r="I21" i="9"/>
  <c r="S33" i="9"/>
  <c r="S54" i="9" s="1"/>
  <c r="K23" i="9"/>
  <c r="K44" i="9" s="1"/>
  <c r="V68" i="9"/>
  <c r="O68" i="9"/>
  <c r="O65" i="9"/>
  <c r="I33" i="9"/>
  <c r="I54" i="9" s="1"/>
  <c r="N33" i="9"/>
  <c r="N54" i="9" s="1"/>
  <c r="M31" i="9"/>
  <c r="M52" i="9" s="1"/>
  <c r="L23" i="9"/>
  <c r="L44" i="9" s="1"/>
  <c r="I23" i="9"/>
  <c r="I44" i="9" s="1"/>
  <c r="M23" i="9"/>
  <c r="M44" i="9" s="1"/>
  <c r="T31" i="9"/>
  <c r="T52" i="9" s="1"/>
  <c r="J31" i="9"/>
  <c r="J52" i="9" s="1"/>
  <c r="O31" i="9"/>
  <c r="O52" i="9" s="1"/>
  <c r="I31" i="9"/>
  <c r="I52" i="9" s="1"/>
  <c r="K31" i="9"/>
  <c r="K52" i="9" s="1"/>
  <c r="H38" i="9"/>
  <c r="Q27" i="9"/>
  <c r="Q48" i="9" s="1"/>
  <c r="P27" i="9"/>
  <c r="P48" i="9" s="1"/>
  <c r="O27" i="9"/>
  <c r="O48" i="9" s="1"/>
  <c r="J27" i="9"/>
  <c r="J48" i="9" s="1"/>
  <c r="K27" i="9"/>
  <c r="K48" i="9" s="1"/>
  <c r="I27" i="9"/>
  <c r="I48" i="9" s="1"/>
  <c r="Q31" i="9"/>
  <c r="Q52" i="9" s="1"/>
  <c r="N24" i="9"/>
  <c r="N45" i="9" s="1"/>
  <c r="J24" i="9"/>
  <c r="J45" i="9" s="1"/>
  <c r="I24" i="9"/>
  <c r="I45" i="9" s="1"/>
  <c r="L24" i="9"/>
  <c r="L45" i="9" s="1"/>
  <c r="K24" i="9"/>
  <c r="K45" i="9" s="1"/>
  <c r="L22" i="9"/>
  <c r="L43" i="9" s="1"/>
  <c r="K22" i="9"/>
  <c r="K43" i="9" s="1"/>
  <c r="J22" i="9"/>
  <c r="J43" i="9" s="1"/>
  <c r="I22" i="9"/>
  <c r="I43" i="9" s="1"/>
  <c r="U33" i="9"/>
  <c r="U54" i="9" s="1"/>
  <c r="W33" i="9"/>
  <c r="W54" i="9" s="1"/>
  <c r="V33" i="9"/>
  <c r="V54" i="9" s="1"/>
  <c r="P33" i="9"/>
  <c r="P54" i="9" s="1"/>
  <c r="O25" i="9"/>
  <c r="O46" i="9" s="1"/>
  <c r="N25" i="9"/>
  <c r="N46" i="9" s="1"/>
  <c r="K25" i="9"/>
  <c r="K46" i="9" s="1"/>
  <c r="M25" i="9"/>
  <c r="M46" i="9" s="1"/>
  <c r="I25" i="9"/>
  <c r="I46" i="9" s="1"/>
  <c r="L25" i="9"/>
  <c r="L46" i="9" s="1"/>
  <c r="J25" i="9"/>
  <c r="J46" i="9" s="1"/>
  <c r="P31" i="9"/>
  <c r="P52" i="9" s="1"/>
  <c r="U31" i="9"/>
  <c r="U52" i="9" s="1"/>
  <c r="S31" i="9"/>
  <c r="S52" i="9" s="1"/>
  <c r="M24" i="9"/>
  <c r="M45" i="9" s="1"/>
  <c r="L31" i="9"/>
  <c r="L52" i="9" s="1"/>
  <c r="L27" i="9"/>
  <c r="L48" i="9" s="1"/>
  <c r="L33" i="9"/>
  <c r="L54" i="9" s="1"/>
  <c r="T33" i="9"/>
  <c r="T54" i="9" s="1"/>
  <c r="P26" i="9"/>
  <c r="P47" i="9" s="1"/>
  <c r="L26" i="9"/>
  <c r="L47" i="9" s="1"/>
  <c r="O26" i="9"/>
  <c r="O47" i="9" s="1"/>
  <c r="M26" i="9"/>
  <c r="M47" i="9" s="1"/>
  <c r="K26" i="9"/>
  <c r="K47" i="9" s="1"/>
  <c r="N26" i="9"/>
  <c r="N47" i="9" s="1"/>
  <c r="J26" i="9"/>
  <c r="J47" i="9" s="1"/>
  <c r="R32" i="9"/>
  <c r="R53" i="9" s="1"/>
  <c r="P32" i="9"/>
  <c r="P53" i="9" s="1"/>
  <c r="V62" i="9"/>
  <c r="S17" i="9"/>
  <c r="AM17" i="9"/>
  <c r="AM38" i="9" s="1"/>
  <c r="R59" i="9"/>
  <c r="S38" i="9"/>
  <c r="AG17" i="9"/>
  <c r="AG38" i="9" s="1"/>
  <c r="M17" i="9"/>
  <c r="L59" i="9"/>
  <c r="M38" i="9"/>
  <c r="K59" i="9"/>
  <c r="AF17" i="9"/>
  <c r="AF38" i="9" s="1"/>
  <c r="L17" i="9"/>
  <c r="L38" i="9"/>
  <c r="Q38" i="9"/>
  <c r="AK17" i="9"/>
  <c r="AK38" i="9" s="1"/>
  <c r="P59" i="9"/>
  <c r="Q17" i="9"/>
  <c r="AD37" i="9"/>
  <c r="AD16" i="9"/>
  <c r="U59" i="9"/>
  <c r="AP17" i="9"/>
  <c r="AP38" i="9" s="1"/>
  <c r="V17" i="9"/>
  <c r="V38" i="9"/>
  <c r="W59" i="9"/>
  <c r="X17" i="9"/>
  <c r="X38" i="9"/>
  <c r="AR17" i="9"/>
  <c r="AR38" i="9" s="1"/>
  <c r="J59" i="9"/>
  <c r="K38" i="9"/>
  <c r="AE17" i="9"/>
  <c r="AE38" i="9" s="1"/>
  <c r="K17" i="9"/>
  <c r="V63" i="9"/>
  <c r="R28" i="9"/>
  <c r="R49" i="9" s="1"/>
  <c r="I28" i="9"/>
  <c r="I49" i="9" s="1"/>
  <c r="N28" i="9"/>
  <c r="N49" i="9" s="1"/>
  <c r="O28" i="9"/>
  <c r="O49" i="9" s="1"/>
  <c r="Q28" i="9"/>
  <c r="Q49" i="9" s="1"/>
  <c r="P28" i="9"/>
  <c r="P49" i="9" s="1"/>
  <c r="M28" i="9"/>
  <c r="M49" i="9" s="1"/>
  <c r="L28" i="9"/>
  <c r="L49" i="9" s="1"/>
  <c r="K28" i="9"/>
  <c r="K49" i="9" s="1"/>
  <c r="J28" i="9"/>
  <c r="J49" i="9" s="1"/>
  <c r="AA39" i="9" a="1"/>
  <c r="AC37" i="9"/>
  <c r="AA18" i="9" a="1"/>
  <c r="AC16" i="9"/>
  <c r="O62" i="9"/>
  <c r="O64" i="9"/>
  <c r="O66" i="9"/>
  <c r="O61" i="9"/>
  <c r="O63" i="9"/>
  <c r="H59" i="9"/>
  <c r="I17" i="9"/>
  <c r="I38" i="9"/>
  <c r="AC17" i="9"/>
  <c r="AC38" i="9" s="1"/>
  <c r="L29" i="9"/>
  <c r="L50" i="9" s="1"/>
  <c r="K29" i="9"/>
  <c r="K50" i="9" s="1"/>
  <c r="J29" i="9"/>
  <c r="J50" i="9" s="1"/>
  <c r="S29" i="9"/>
  <c r="S50" i="9" s="1"/>
  <c r="R29" i="9"/>
  <c r="R50" i="9" s="1"/>
  <c r="I29" i="9"/>
  <c r="I50" i="9" s="1"/>
  <c r="Q29" i="9"/>
  <c r="Q50" i="9" s="1"/>
  <c r="P29" i="9"/>
  <c r="P50" i="9" s="1"/>
  <c r="O29" i="9"/>
  <c r="O50" i="9" s="1"/>
  <c r="N29" i="9"/>
  <c r="N50" i="9" s="1"/>
  <c r="M29" i="9"/>
  <c r="M50" i="9" s="1"/>
  <c r="V61" i="9"/>
  <c r="V66" i="9"/>
  <c r="AI17" i="9"/>
  <c r="AI38" i="9" s="1"/>
  <c r="O38" i="9"/>
  <c r="O17" i="9"/>
  <c r="N59" i="9"/>
  <c r="V64" i="9"/>
  <c r="T59" i="9"/>
  <c r="AO17" i="9"/>
  <c r="AO38" i="9" s="1"/>
  <c r="U17" i="9"/>
  <c r="U38" i="9"/>
  <c r="AH17" i="9"/>
  <c r="AH38" i="9" s="1"/>
  <c r="N38" i="9"/>
  <c r="M59" i="9"/>
  <c r="N17" i="9"/>
  <c r="I59" i="9"/>
  <c r="J17" i="9"/>
  <c r="J38" i="9"/>
  <c r="AD17" i="9"/>
  <c r="AD38" i="9" s="1"/>
  <c r="T17" i="9"/>
  <c r="S59" i="9"/>
  <c r="T38" i="9"/>
  <c r="AN17" i="9"/>
  <c r="AN38" i="9" s="1"/>
  <c r="R17" i="9"/>
  <c r="Q59" i="9"/>
  <c r="AL17" i="9"/>
  <c r="AL38" i="9" s="1"/>
  <c r="R38" i="9"/>
  <c r="K68" i="9" l="1"/>
  <c r="K65" i="9"/>
  <c r="I65" i="9"/>
  <c r="I68" i="9"/>
  <c r="H68" i="9"/>
  <c r="H65" i="9"/>
  <c r="H61" i="9"/>
  <c r="J65" i="9"/>
  <c r="J68" i="9"/>
  <c r="P68" i="9"/>
  <c r="P65" i="9"/>
  <c r="R65" i="9"/>
  <c r="R68" i="9"/>
  <c r="T65" i="9"/>
  <c r="T68" i="9"/>
  <c r="U65" i="9"/>
  <c r="U68" i="9"/>
  <c r="L68" i="9"/>
  <c r="L65" i="9"/>
  <c r="Q65" i="9"/>
  <c r="Q68" i="9"/>
  <c r="S65" i="9"/>
  <c r="S68" i="9"/>
  <c r="M68" i="9"/>
  <c r="M65" i="9"/>
  <c r="N65" i="9"/>
  <c r="N68" i="9"/>
  <c r="W68" i="9"/>
  <c r="W65" i="9"/>
  <c r="M62" i="9"/>
  <c r="M63" i="9"/>
  <c r="M64" i="9"/>
  <c r="M66" i="9"/>
  <c r="M61" i="9"/>
  <c r="K66" i="9"/>
  <c r="K63" i="9"/>
  <c r="K64" i="9"/>
  <c r="K62" i="9"/>
  <c r="K61" i="9"/>
  <c r="W66" i="9"/>
  <c r="W63" i="9"/>
  <c r="W61" i="9"/>
  <c r="W62" i="9"/>
  <c r="W64" i="9"/>
  <c r="H39" i="9" a="1"/>
  <c r="H18" i="9" a="1"/>
  <c r="AB18" i="9" a="1"/>
  <c r="AB39" i="9" a="1"/>
  <c r="AA51" i="9"/>
  <c r="AA39" i="9"/>
  <c r="AA50" i="9"/>
  <c r="AA49" i="9"/>
  <c r="AA54" i="9"/>
  <c r="AA44" i="9"/>
  <c r="AA53" i="9"/>
  <c r="AA52" i="9"/>
  <c r="AA48" i="9"/>
  <c r="AA47" i="9"/>
  <c r="AA45" i="9"/>
  <c r="AA46" i="9"/>
  <c r="AA43" i="9"/>
  <c r="AA41" i="9"/>
  <c r="AA40" i="9"/>
  <c r="AA42" i="9"/>
  <c r="Q64" i="9"/>
  <c r="Q61" i="9"/>
  <c r="Q66" i="9"/>
  <c r="Q63" i="9"/>
  <c r="Q62" i="9"/>
  <c r="U66" i="9"/>
  <c r="U63" i="9"/>
  <c r="U61" i="9"/>
  <c r="U62" i="9"/>
  <c r="U64" i="9"/>
  <c r="S64" i="9"/>
  <c r="S61" i="9"/>
  <c r="S66" i="9"/>
  <c r="S63" i="9"/>
  <c r="S62" i="9"/>
  <c r="P62" i="9"/>
  <c r="P66" i="9"/>
  <c r="P61" i="9"/>
  <c r="P63" i="9"/>
  <c r="P64" i="9"/>
  <c r="R64" i="9"/>
  <c r="R61" i="9"/>
  <c r="R66" i="9"/>
  <c r="R62" i="9"/>
  <c r="R63" i="9"/>
  <c r="N62" i="9"/>
  <c r="N63" i="9"/>
  <c r="N64" i="9"/>
  <c r="N66" i="9"/>
  <c r="N61" i="9"/>
  <c r="J66" i="9"/>
  <c r="J63" i="9"/>
  <c r="J64" i="9"/>
  <c r="J62" i="9"/>
  <c r="J61" i="9"/>
  <c r="I66" i="9"/>
  <c r="I63" i="9"/>
  <c r="I64" i="9"/>
  <c r="I62" i="9"/>
  <c r="I61" i="9"/>
  <c r="AA32" i="9"/>
  <c r="AA20" i="9"/>
  <c r="AA31" i="9"/>
  <c r="AA19" i="9"/>
  <c r="AC19" i="9" s="1"/>
  <c r="AA30" i="9"/>
  <c r="AA18" i="9"/>
  <c r="AA27" i="9"/>
  <c r="AA26" i="9"/>
  <c r="AA25" i="9"/>
  <c r="AA23" i="9"/>
  <c r="AA21" i="9"/>
  <c r="AA24" i="9"/>
  <c r="AA33" i="9"/>
  <c r="AA22" i="9"/>
  <c r="AA29" i="9"/>
  <c r="AA28" i="9"/>
  <c r="H64" i="9"/>
  <c r="H63" i="9"/>
  <c r="H62" i="9"/>
  <c r="H66" i="9"/>
  <c r="L66" i="9"/>
  <c r="L63" i="9"/>
  <c r="L62" i="9"/>
  <c r="L64" i="9"/>
  <c r="L61" i="9"/>
  <c r="T64" i="9"/>
  <c r="T61" i="9"/>
  <c r="T66" i="9"/>
  <c r="T63" i="9"/>
  <c r="T62" i="9"/>
  <c r="H73" i="9" l="1"/>
  <c r="AH30" i="9"/>
  <c r="AH51" i="9" s="1"/>
  <c r="AG30" i="9"/>
  <c r="AG51" i="9" s="1"/>
  <c r="AF30" i="9"/>
  <c r="AF51" i="9" s="1"/>
  <c r="AL30" i="9"/>
  <c r="AL51" i="9" s="1"/>
  <c r="AK30" i="9"/>
  <c r="AK51" i="9" s="1"/>
  <c r="AJ30" i="9"/>
  <c r="AJ51" i="9" s="1"/>
  <c r="AI30" i="9"/>
  <c r="AI51" i="9" s="1"/>
  <c r="AE30" i="9"/>
  <c r="AE51" i="9" s="1"/>
  <c r="AC30" i="9"/>
  <c r="AC51" i="9" s="1"/>
  <c r="AD30" i="9"/>
  <c r="AD51" i="9" s="1"/>
  <c r="AN30" i="9"/>
  <c r="AN51" i="9" s="1"/>
  <c r="AM30" i="9"/>
  <c r="AM51" i="9" s="1"/>
  <c r="AB46" i="9"/>
  <c r="AB45" i="9"/>
  <c r="AB44" i="9"/>
  <c r="AB52" i="9"/>
  <c r="AB51" i="9"/>
  <c r="AB43" i="9"/>
  <c r="AB50" i="9"/>
  <c r="AB49" i="9"/>
  <c r="AB48" i="9"/>
  <c r="AB47" i="9"/>
  <c r="AB42" i="9"/>
  <c r="AB41" i="9"/>
  <c r="AB40" i="9"/>
  <c r="AC40" i="9" s="1"/>
  <c r="AB54" i="9"/>
  <c r="AB39" i="9"/>
  <c r="AB53" i="9"/>
  <c r="H44" i="9"/>
  <c r="H43" i="9"/>
  <c r="H54" i="9"/>
  <c r="H42" i="9"/>
  <c r="H53" i="9"/>
  <c r="H52" i="9"/>
  <c r="H51" i="9"/>
  <c r="H47" i="9"/>
  <c r="H50" i="9"/>
  <c r="H46" i="9"/>
  <c r="H49" i="9"/>
  <c r="H41" i="9"/>
  <c r="H48" i="9"/>
  <c r="H45" i="9"/>
  <c r="H40" i="9"/>
  <c r="I40" i="9" s="1"/>
  <c r="H39" i="9"/>
  <c r="AK27" i="9"/>
  <c r="AK48" i="9" s="1"/>
  <c r="AJ27" i="9"/>
  <c r="AJ48" i="9" s="1"/>
  <c r="AI27" i="9"/>
  <c r="AI48" i="9" s="1"/>
  <c r="AB38" i="9"/>
  <c r="AH27" i="9"/>
  <c r="AH48" i="9" s="1"/>
  <c r="AG27" i="9"/>
  <c r="AG48" i="9" s="1"/>
  <c r="AE27" i="9"/>
  <c r="AE48" i="9" s="1"/>
  <c r="AF27" i="9"/>
  <c r="AF48" i="9" s="1"/>
  <c r="AD27" i="9"/>
  <c r="AD48" i="9" s="1"/>
  <c r="AC27" i="9"/>
  <c r="AC48" i="9" s="1"/>
  <c r="AG31" i="9"/>
  <c r="AG52" i="9" s="1"/>
  <c r="AF31" i="9"/>
  <c r="AF52" i="9" s="1"/>
  <c r="AE31" i="9"/>
  <c r="AE52" i="9" s="1"/>
  <c r="AH31" i="9"/>
  <c r="AH52" i="9" s="1"/>
  <c r="AO31" i="9"/>
  <c r="AO52" i="9" s="1"/>
  <c r="AN31" i="9"/>
  <c r="AN52" i="9" s="1"/>
  <c r="AM31" i="9"/>
  <c r="AM52" i="9" s="1"/>
  <c r="AJ31" i="9"/>
  <c r="AJ52" i="9" s="1"/>
  <c r="AL31" i="9"/>
  <c r="AL52" i="9" s="1"/>
  <c r="AK31" i="9"/>
  <c r="AK52" i="9" s="1"/>
  <c r="AI31" i="9"/>
  <c r="AI52" i="9" s="1"/>
  <c r="AD31" i="9"/>
  <c r="AD52" i="9" s="1"/>
  <c r="AC31" i="9"/>
  <c r="AC52" i="9" s="1"/>
  <c r="AH24" i="9"/>
  <c r="AH45" i="9" s="1"/>
  <c r="AG24" i="9"/>
  <c r="AG45" i="9" s="1"/>
  <c r="AF24" i="9"/>
  <c r="AF45" i="9" s="1"/>
  <c r="AE24" i="9"/>
  <c r="AE45" i="9" s="1"/>
  <c r="AD24" i="9"/>
  <c r="AD45" i="9" s="1"/>
  <c r="AC24" i="9"/>
  <c r="AC45" i="9" s="1"/>
  <c r="H25" i="9"/>
  <c r="H24" i="9"/>
  <c r="H23" i="9"/>
  <c r="H29" i="9"/>
  <c r="H28" i="9"/>
  <c r="H32" i="9"/>
  <c r="H27" i="9"/>
  <c r="H22" i="9"/>
  <c r="H33" i="9"/>
  <c r="H26" i="9"/>
  <c r="H21" i="9"/>
  <c r="H20" i="9"/>
  <c r="H19" i="9"/>
  <c r="H18" i="9"/>
  <c r="H31" i="9"/>
  <c r="H30" i="9"/>
  <c r="AG29" i="9"/>
  <c r="AG50" i="9" s="1"/>
  <c r="AF29" i="9"/>
  <c r="AF50" i="9" s="1"/>
  <c r="AE29" i="9"/>
  <c r="AE50" i="9" s="1"/>
  <c r="AK29" i="9"/>
  <c r="AK50" i="9" s="1"/>
  <c r="AH29" i="9"/>
  <c r="AH50" i="9" s="1"/>
  <c r="AM29" i="9"/>
  <c r="AM50" i="9" s="1"/>
  <c r="AL29" i="9"/>
  <c r="AL50" i="9" s="1"/>
  <c r="AJ29" i="9"/>
  <c r="AJ50" i="9" s="1"/>
  <c r="AI29" i="9"/>
  <c r="AI50" i="9" s="1"/>
  <c r="AD29" i="9"/>
  <c r="AD50" i="9" s="1"/>
  <c r="AC29" i="9"/>
  <c r="AC50" i="9" s="1"/>
  <c r="AD22" i="9"/>
  <c r="AD43" i="9" s="1"/>
  <c r="AC22" i="9"/>
  <c r="AC43" i="9" s="1"/>
  <c r="AE22" i="9"/>
  <c r="AE43" i="9" s="1"/>
  <c r="AF22" i="9"/>
  <c r="AF43" i="9" s="1"/>
  <c r="AB27" i="9"/>
  <c r="AB26" i="9"/>
  <c r="AB25" i="9"/>
  <c r="AB28" i="9"/>
  <c r="AB24" i="9"/>
  <c r="AB19" i="9"/>
  <c r="AB33" i="9"/>
  <c r="AB32" i="9"/>
  <c r="AB23" i="9"/>
  <c r="AB21" i="9"/>
  <c r="AB18" i="9"/>
  <c r="AB22" i="9"/>
  <c r="AB20" i="9"/>
  <c r="AB31" i="9"/>
  <c r="AB30" i="9"/>
  <c r="AB29" i="9"/>
  <c r="AD28" i="9"/>
  <c r="AD49" i="9" s="1"/>
  <c r="AC28" i="9"/>
  <c r="AC49" i="9" s="1"/>
  <c r="AH28" i="9"/>
  <c r="AH49" i="9" s="1"/>
  <c r="AG28" i="9"/>
  <c r="AG49" i="9" s="1"/>
  <c r="AF28" i="9"/>
  <c r="AF49" i="9" s="1"/>
  <c r="AE28" i="9"/>
  <c r="AE49" i="9" s="1"/>
  <c r="AK28" i="9"/>
  <c r="AK49" i="9" s="1"/>
  <c r="AL28" i="9"/>
  <c r="AL49" i="9" s="1"/>
  <c r="AJ28" i="9"/>
  <c r="AJ49" i="9" s="1"/>
  <c r="AI28" i="9"/>
  <c r="AI49" i="9" s="1"/>
  <c r="AD20" i="9"/>
  <c r="AC20" i="9"/>
  <c r="AC41" i="9" s="1"/>
  <c r="AP32" i="9"/>
  <c r="AP53" i="9" s="1"/>
  <c r="AD32" i="9"/>
  <c r="AD53" i="9" s="1"/>
  <c r="AO32" i="9"/>
  <c r="AO53" i="9" s="1"/>
  <c r="AC32" i="9"/>
  <c r="AC53" i="9" s="1"/>
  <c r="AN32" i="9"/>
  <c r="AN53" i="9" s="1"/>
  <c r="AH32" i="9"/>
  <c r="AH53" i="9" s="1"/>
  <c r="AG32" i="9"/>
  <c r="AG53" i="9" s="1"/>
  <c r="AF32" i="9"/>
  <c r="AF53" i="9" s="1"/>
  <c r="AE32" i="9"/>
  <c r="AE53" i="9" s="1"/>
  <c r="AM32" i="9"/>
  <c r="AM53" i="9" s="1"/>
  <c r="AK32" i="9"/>
  <c r="AK53" i="9" s="1"/>
  <c r="AL32" i="9"/>
  <c r="AL53" i="9" s="1"/>
  <c r="AJ32" i="9"/>
  <c r="AJ53" i="9" s="1"/>
  <c r="AI32" i="9"/>
  <c r="AI53" i="9" s="1"/>
  <c r="AG23" i="9"/>
  <c r="AG44" i="9" s="1"/>
  <c r="AF23" i="9"/>
  <c r="AF44" i="9" s="1"/>
  <c r="AE23" i="9"/>
  <c r="AE44" i="9" s="1"/>
  <c r="AD23" i="9"/>
  <c r="AD44" i="9" s="1"/>
  <c r="AC23" i="9"/>
  <c r="AC44" i="9" s="1"/>
  <c r="AD26" i="9"/>
  <c r="AD47" i="9" s="1"/>
  <c r="AC26" i="9"/>
  <c r="AC47" i="9" s="1"/>
  <c r="AJ26" i="9"/>
  <c r="AJ47" i="9" s="1"/>
  <c r="AI26" i="9"/>
  <c r="AI47" i="9" s="1"/>
  <c r="AH26" i="9"/>
  <c r="AH47" i="9" s="1"/>
  <c r="AE26" i="9"/>
  <c r="AE47" i="9" s="1"/>
  <c r="AG26" i="9"/>
  <c r="AG47" i="9" s="1"/>
  <c r="AF26" i="9"/>
  <c r="AF47" i="9" s="1"/>
  <c r="AK33" i="9"/>
  <c r="AK54" i="9" s="1"/>
  <c r="AJ33" i="9"/>
  <c r="AJ54" i="9" s="1"/>
  <c r="AI33" i="9"/>
  <c r="AI54" i="9" s="1"/>
  <c r="AL33" i="9"/>
  <c r="AL54" i="9" s="1"/>
  <c r="AH33" i="9"/>
  <c r="AH54" i="9" s="1"/>
  <c r="AE33" i="9"/>
  <c r="AE54" i="9" s="1"/>
  <c r="AQ33" i="9"/>
  <c r="AQ54" i="9" s="1"/>
  <c r="AG33" i="9"/>
  <c r="AG54" i="9" s="1"/>
  <c r="AF33" i="9"/>
  <c r="AF54" i="9" s="1"/>
  <c r="AC33" i="9"/>
  <c r="AC54" i="9" s="1"/>
  <c r="AD33" i="9"/>
  <c r="AD54" i="9" s="1"/>
  <c r="AO33" i="9"/>
  <c r="AO54" i="9" s="1"/>
  <c r="AP33" i="9"/>
  <c r="AP54" i="9" s="1"/>
  <c r="AN33" i="9"/>
  <c r="AN54" i="9" s="1"/>
  <c r="AM33" i="9"/>
  <c r="AM54" i="9" s="1"/>
  <c r="AC21" i="9"/>
  <c r="AE21" i="9"/>
  <c r="AE42" i="9" s="1"/>
  <c r="AD21" i="9"/>
  <c r="AD42" i="9" s="1"/>
  <c r="AG25" i="9"/>
  <c r="AG46" i="9" s="1"/>
  <c r="AF25" i="9"/>
  <c r="AF46" i="9" s="1"/>
  <c r="AE25" i="9"/>
  <c r="AE46" i="9" s="1"/>
  <c r="AI25" i="9"/>
  <c r="AI46" i="9" s="1"/>
  <c r="AD25" i="9"/>
  <c r="AD46" i="9" s="1"/>
  <c r="AH25" i="9"/>
  <c r="AH46" i="9" s="1"/>
  <c r="AC25" i="9"/>
  <c r="AC46" i="9" s="1"/>
  <c r="AC42" i="9" l="1"/>
  <c r="I42" i="9"/>
  <c r="J42" i="9"/>
  <c r="K42" i="9"/>
  <c r="I69" i="9" a="1"/>
  <c r="AD41" i="9"/>
  <c r="J41" i="9"/>
  <c r="I41" i="9"/>
  <c r="I69" i="9" l="1"/>
  <c r="O69" i="9"/>
  <c r="P69" i="9"/>
  <c r="Q69" i="9"/>
  <c r="S69" i="9"/>
  <c r="T69" i="9"/>
  <c r="N69" i="9"/>
  <c r="R69" i="9"/>
  <c r="M69" i="9"/>
  <c r="L69" i="9"/>
  <c r="J69" i="9"/>
  <c r="U69" i="9"/>
  <c r="W69" i="9"/>
  <c r="K69" i="9"/>
  <c r="V69" i="9"/>
  <c r="H71" i="9" l="1" a="1"/>
  <c r="H71" i="9" s="1"/>
  <c r="H72" i="9" s="1"/>
  <c r="S72" i="9" s="1"/>
  <c r="G39" i="8" a="1"/>
  <c r="G50" i="8" s="1"/>
  <c r="X37" i="8"/>
  <c r="W37" i="8"/>
  <c r="V37" i="8"/>
  <c r="U37" i="8"/>
  <c r="T37" i="8"/>
  <c r="S37" i="8"/>
  <c r="R37" i="8"/>
  <c r="Q37" i="8"/>
  <c r="P37" i="8"/>
  <c r="O37" i="8"/>
  <c r="N37" i="8"/>
  <c r="M37" i="8"/>
  <c r="L37" i="8"/>
  <c r="K37" i="8"/>
  <c r="J37" i="8"/>
  <c r="I37" i="8"/>
  <c r="G18" i="8" a="1"/>
  <c r="AB17" i="8"/>
  <c r="H17" i="8"/>
  <c r="I16" i="8" a="1"/>
  <c r="I16" i="8" s="1"/>
  <c r="W13" i="8"/>
  <c r="V13" i="8"/>
  <c r="U13" i="8"/>
  <c r="T13" i="8"/>
  <c r="AO16" i="8" s="1"/>
  <c r="S13" i="8"/>
  <c r="R13" i="8"/>
  <c r="Q13" i="8"/>
  <c r="P13" i="8"/>
  <c r="O13" i="8"/>
  <c r="N13" i="8"/>
  <c r="M13" i="8"/>
  <c r="L13" i="8"/>
  <c r="L68" i="8" s="1"/>
  <c r="K13" i="8"/>
  <c r="J13" i="8"/>
  <c r="D9" i="8"/>
  <c r="V8" i="8" a="1"/>
  <c r="V8" i="8" s="1"/>
  <c r="V59" i="8" s="1"/>
  <c r="Q8" i="8" a="1"/>
  <c r="Q8" i="8" s="1"/>
  <c r="R38" i="8" s="1"/>
  <c r="O8" i="8" a="1"/>
  <c r="O8" i="8" s="1"/>
  <c r="M8" i="8" a="1"/>
  <c r="M8" i="8" s="1"/>
  <c r="J8" i="8" a="1"/>
  <c r="J8" i="8" s="1"/>
  <c r="J59" i="8" s="1"/>
  <c r="I68" i="4"/>
  <c r="J68" i="4"/>
  <c r="K68" i="4"/>
  <c r="L68" i="4"/>
  <c r="M68" i="4"/>
  <c r="N68" i="4"/>
  <c r="O68" i="4"/>
  <c r="P68" i="4"/>
  <c r="Q68" i="4"/>
  <c r="R68" i="4"/>
  <c r="S68" i="4"/>
  <c r="T68" i="4"/>
  <c r="U68" i="4"/>
  <c r="V68" i="4"/>
  <c r="W68" i="4"/>
  <c r="H68" i="4"/>
  <c r="I67" i="4"/>
  <c r="J67" i="4"/>
  <c r="K67" i="4"/>
  <c r="L67" i="4"/>
  <c r="M67" i="4"/>
  <c r="N67" i="4"/>
  <c r="O67" i="4"/>
  <c r="P67" i="4"/>
  <c r="Q67" i="4"/>
  <c r="R67" i="4"/>
  <c r="S67" i="4"/>
  <c r="T67" i="4"/>
  <c r="U67" i="4"/>
  <c r="V67" i="4"/>
  <c r="W67" i="4"/>
  <c r="H67" i="4"/>
  <c r="H49" i="4" a="1"/>
  <c r="H49" i="4" s="1"/>
  <c r="H56" i="4"/>
  <c r="H57" i="4"/>
  <c r="H58" i="4"/>
  <c r="H59" i="4"/>
  <c r="H60" i="4"/>
  <c r="AB49" i="4" a="1"/>
  <c r="AB49" i="4" s="1"/>
  <c r="AB28" i="4" a="1"/>
  <c r="AB28" i="4" s="1"/>
  <c r="AB32" i="4"/>
  <c r="AB33" i="4"/>
  <c r="AB34" i="4"/>
  <c r="AB35" i="4"/>
  <c r="AB36" i="4"/>
  <c r="AB37" i="4"/>
  <c r="AB38" i="4"/>
  <c r="AB39" i="4"/>
  <c r="H28" i="4" a="1"/>
  <c r="H28" i="4" s="1"/>
  <c r="H31" i="4"/>
  <c r="H33" i="4"/>
  <c r="H34" i="4"/>
  <c r="H35" i="4"/>
  <c r="H36" i="4"/>
  <c r="H37" i="4"/>
  <c r="H38" i="4"/>
  <c r="H39" i="4"/>
  <c r="H43" i="4"/>
  <c r="I23" i="4"/>
  <c r="AD47" i="4" s="1"/>
  <c r="J23" i="4"/>
  <c r="K23" i="4"/>
  <c r="L23" i="4"/>
  <c r="AG26" i="4" s="1"/>
  <c r="M23" i="4"/>
  <c r="N23" i="4"/>
  <c r="O23" i="4"/>
  <c r="P23" i="4"/>
  <c r="AK47" i="4" s="1"/>
  <c r="Q23" i="4"/>
  <c r="AL47" i="4" s="1"/>
  <c r="R23" i="4"/>
  <c r="AM47" i="4" s="1"/>
  <c r="S23" i="4"/>
  <c r="AN47" i="4" s="1"/>
  <c r="T23" i="4"/>
  <c r="AO47" i="4" s="1"/>
  <c r="U23" i="4"/>
  <c r="AP47" i="4" s="1"/>
  <c r="V23" i="4"/>
  <c r="W23" i="4"/>
  <c r="H23" i="4"/>
  <c r="AC26" i="4" s="1"/>
  <c r="I18" i="4" a="1"/>
  <c r="I18" i="4" s="1"/>
  <c r="J18" i="4" a="1"/>
  <c r="J18" i="4" s="1"/>
  <c r="K18" i="4" a="1"/>
  <c r="K18" i="4" s="1"/>
  <c r="AF27" i="4" s="1"/>
  <c r="AF48" i="4" s="1"/>
  <c r="L18" i="4" a="1"/>
  <c r="L18" i="4"/>
  <c r="M18" i="4" a="1"/>
  <c r="M18" i="4"/>
  <c r="AH27" i="4" s="1"/>
  <c r="AH48" i="4" s="1"/>
  <c r="N18" i="4" a="1"/>
  <c r="N18" i="4" s="1"/>
  <c r="AI27" i="4" s="1"/>
  <c r="AI48" i="4" s="1"/>
  <c r="O18" i="4" a="1"/>
  <c r="O18" i="4" s="1"/>
  <c r="P18" i="4" a="1"/>
  <c r="P18" i="4" s="1"/>
  <c r="Q48" i="4" s="1"/>
  <c r="Q18" i="4" a="1"/>
  <c r="Q18" i="4" s="1"/>
  <c r="AL27" i="4" s="1"/>
  <c r="AL48" i="4" s="1"/>
  <c r="R18" i="4" a="1"/>
  <c r="R18" i="4"/>
  <c r="S18" i="4" a="1"/>
  <c r="S18" i="4"/>
  <c r="AN27" i="4" s="1"/>
  <c r="AN48" i="4" s="1"/>
  <c r="T18" i="4" a="1"/>
  <c r="T18" i="4" s="1"/>
  <c r="U27" i="4" s="1"/>
  <c r="U18" i="4" a="1"/>
  <c r="U18" i="4" s="1"/>
  <c r="V18" i="4" a="1"/>
  <c r="V18" i="4" s="1"/>
  <c r="W18" i="4" a="1"/>
  <c r="W18" i="4" s="1"/>
  <c r="H18" i="4" a="1"/>
  <c r="H18" i="4" s="1"/>
  <c r="G49" i="4" a="1"/>
  <c r="G61" i="4" s="1"/>
  <c r="X47" i="4"/>
  <c r="W47" i="4"/>
  <c r="V47" i="4"/>
  <c r="U47" i="4"/>
  <c r="T47" i="4"/>
  <c r="S47" i="4"/>
  <c r="R47" i="4"/>
  <c r="Q47" i="4"/>
  <c r="P47" i="4"/>
  <c r="O47" i="4"/>
  <c r="N47" i="4"/>
  <c r="M47" i="4"/>
  <c r="L47" i="4"/>
  <c r="K47" i="4"/>
  <c r="J47" i="4"/>
  <c r="I47" i="4"/>
  <c r="G28" i="4" a="1"/>
  <c r="G40" i="4" s="1"/>
  <c r="T40" i="4" s="1"/>
  <c r="T61" i="4" s="1"/>
  <c r="AB27" i="4"/>
  <c r="H27" i="4"/>
  <c r="I26" i="4" a="1"/>
  <c r="I26" i="4" s="1"/>
  <c r="AJ47" i="4"/>
  <c r="AI47" i="4"/>
  <c r="D19" i="4"/>
  <c r="AG47" i="4" l="1"/>
  <c r="H75" i="9"/>
  <c r="AJ37" i="8"/>
  <c r="O68" i="8"/>
  <c r="AI16" i="8"/>
  <c r="N68" i="8"/>
  <c r="AL37" i="8"/>
  <c r="Q68" i="8"/>
  <c r="AM16" i="8"/>
  <c r="R68" i="8"/>
  <c r="AK37" i="8"/>
  <c r="P68" i="8"/>
  <c r="AN16" i="8"/>
  <c r="S68" i="8"/>
  <c r="AO37" i="8"/>
  <c r="T68" i="8"/>
  <c r="AH16" i="8"/>
  <c r="M68" i="8"/>
  <c r="U8" i="8" a="1"/>
  <c r="U8" i="8" s="1"/>
  <c r="V17" i="8" s="1"/>
  <c r="J66" i="8"/>
  <c r="AP37" i="8"/>
  <c r="U68" i="8"/>
  <c r="AI37" i="8"/>
  <c r="AQ37" i="8"/>
  <c r="V68" i="8"/>
  <c r="AR37" i="8"/>
  <c r="W68" i="8"/>
  <c r="Q59" i="8"/>
  <c r="AF37" i="8"/>
  <c r="K68" i="8"/>
  <c r="AE37" i="8"/>
  <c r="J68" i="8"/>
  <c r="J61" i="8"/>
  <c r="J63" i="8"/>
  <c r="N38" i="8"/>
  <c r="M59" i="8"/>
  <c r="AJ17" i="8"/>
  <c r="AJ38" i="8" s="1"/>
  <c r="O59" i="8"/>
  <c r="N8" i="8" a="1"/>
  <c r="N8" i="8" s="1"/>
  <c r="N59" i="8" s="1"/>
  <c r="W8" i="8" a="1"/>
  <c r="W8" i="8" s="1"/>
  <c r="X38" i="8" s="1"/>
  <c r="H13" i="8"/>
  <c r="H8" i="8" a="1"/>
  <c r="H8" i="8" s="1"/>
  <c r="I38" i="8" s="1"/>
  <c r="P8" i="8" a="1"/>
  <c r="P8" i="8" s="1"/>
  <c r="P59" i="8" s="1"/>
  <c r="I13" i="8"/>
  <c r="I8" i="8" a="1"/>
  <c r="I8" i="8" s="1"/>
  <c r="I59" i="8" s="1"/>
  <c r="R8" i="8" a="1"/>
  <c r="R8" i="8" s="1"/>
  <c r="K8" i="8" a="1"/>
  <c r="K8" i="8" s="1"/>
  <c r="L8" i="8" a="1"/>
  <c r="L8" i="8" s="1"/>
  <c r="T8" i="8" a="1"/>
  <c r="T8" i="8" s="1"/>
  <c r="T59" i="8" s="1"/>
  <c r="AP16" i="8"/>
  <c r="S8" i="8" a="1"/>
  <c r="S8" i="8" s="1"/>
  <c r="S59" i="8" s="1"/>
  <c r="AR16" i="8"/>
  <c r="AQ16" i="8"/>
  <c r="AM37" i="8"/>
  <c r="AN37" i="8"/>
  <c r="AJ16" i="8"/>
  <c r="AF16" i="8"/>
  <c r="AE16" i="8"/>
  <c r="G42" i="8"/>
  <c r="G43" i="8"/>
  <c r="G44" i="8"/>
  <c r="G45" i="8"/>
  <c r="G46" i="8"/>
  <c r="G47" i="8"/>
  <c r="G48" i="8"/>
  <c r="G49" i="8"/>
  <c r="G51" i="8"/>
  <c r="G39" i="8"/>
  <c r="G52" i="8"/>
  <c r="G40" i="8"/>
  <c r="G53" i="8"/>
  <c r="G41" i="8"/>
  <c r="G54" i="8"/>
  <c r="K38" i="8"/>
  <c r="AE17" i="8"/>
  <c r="AE38" i="8" s="1"/>
  <c r="K17" i="8"/>
  <c r="AQ17" i="8"/>
  <c r="AQ38" i="8" s="1"/>
  <c r="W17" i="8"/>
  <c r="W38" i="8"/>
  <c r="N17" i="8"/>
  <c r="V38" i="8"/>
  <c r="G33" i="8"/>
  <c r="G21" i="8"/>
  <c r="G32" i="8"/>
  <c r="G20" i="8"/>
  <c r="G31" i="8"/>
  <c r="G19" i="8"/>
  <c r="I19" i="8" s="1"/>
  <c r="P38" i="8"/>
  <c r="G18" i="8"/>
  <c r="G23" i="8"/>
  <c r="AK16" i="8"/>
  <c r="P17" i="8"/>
  <c r="AH17" i="8"/>
  <c r="AH38" i="8" s="1"/>
  <c r="G24" i="8"/>
  <c r="G22" i="8"/>
  <c r="AL16" i="8"/>
  <c r="AL17" i="8"/>
  <c r="AL38" i="8" s="1"/>
  <c r="G25" i="8"/>
  <c r="R17" i="8"/>
  <c r="G26" i="8"/>
  <c r="AG37" i="8"/>
  <c r="AG16" i="8"/>
  <c r="G27" i="8"/>
  <c r="G28" i="8"/>
  <c r="AP17" i="8"/>
  <c r="AP38" i="8" s="1"/>
  <c r="G29" i="8"/>
  <c r="AH37" i="8"/>
  <c r="G30" i="8"/>
  <c r="G54" i="4"/>
  <c r="AD26" i="4"/>
  <c r="P40" i="4"/>
  <c r="P61" i="4" s="1"/>
  <c r="O40" i="4"/>
  <c r="O61" i="4" s="1"/>
  <c r="I40" i="4"/>
  <c r="I61" i="4" s="1"/>
  <c r="N40" i="4"/>
  <c r="N61" i="4" s="1"/>
  <c r="Q40" i="4"/>
  <c r="Q61" i="4" s="1"/>
  <c r="G53" i="4"/>
  <c r="M40" i="4"/>
  <c r="M61" i="4" s="1"/>
  <c r="S40" i="4"/>
  <c r="S61" i="4" s="1"/>
  <c r="R40" i="4"/>
  <c r="R61" i="4" s="1"/>
  <c r="L40" i="4"/>
  <c r="L61" i="4" s="1"/>
  <c r="G55" i="4"/>
  <c r="K40" i="4"/>
  <c r="K61" i="4" s="1"/>
  <c r="J40" i="4"/>
  <c r="J61" i="4" s="1"/>
  <c r="G30" i="4"/>
  <c r="G56" i="4"/>
  <c r="G42" i="4"/>
  <c r="G29" i="4"/>
  <c r="I29" i="4" s="1"/>
  <c r="I50" i="4" s="1"/>
  <c r="G57" i="4"/>
  <c r="G43" i="4"/>
  <c r="G33" i="4"/>
  <c r="G63" i="4"/>
  <c r="G32" i="4"/>
  <c r="G34" i="4"/>
  <c r="G64" i="4"/>
  <c r="G41" i="4"/>
  <c r="G36" i="4"/>
  <c r="G50" i="4"/>
  <c r="G62" i="4"/>
  <c r="G37" i="4"/>
  <c r="G51" i="4"/>
  <c r="G31" i="4"/>
  <c r="G35" i="4"/>
  <c r="G38" i="4"/>
  <c r="G52" i="4"/>
  <c r="H55" i="4"/>
  <c r="H54" i="4"/>
  <c r="H53" i="4"/>
  <c r="H64" i="4"/>
  <c r="H52" i="4"/>
  <c r="H63" i="4"/>
  <c r="H51" i="4"/>
  <c r="H62" i="4"/>
  <c r="H50" i="4"/>
  <c r="H61" i="4"/>
  <c r="AB58" i="4"/>
  <c r="AB59" i="4"/>
  <c r="AB57" i="4"/>
  <c r="AB56" i="4"/>
  <c r="AB55" i="4"/>
  <c r="AB54" i="4"/>
  <c r="AB60" i="4"/>
  <c r="AB53" i="4"/>
  <c r="AB64" i="4"/>
  <c r="AB52" i="4"/>
  <c r="AB63" i="4"/>
  <c r="AB51" i="4"/>
  <c r="AB62" i="4"/>
  <c r="AB50" i="4"/>
  <c r="AB61" i="4"/>
  <c r="AB43" i="4"/>
  <c r="AB31" i="4"/>
  <c r="AB42" i="4"/>
  <c r="AB30" i="4"/>
  <c r="AB41" i="4"/>
  <c r="AB29" i="4"/>
  <c r="AB40" i="4"/>
  <c r="H32" i="4"/>
  <c r="H42" i="4"/>
  <c r="H30" i="4"/>
  <c r="H41" i="4"/>
  <c r="H29" i="4"/>
  <c r="H40" i="4"/>
  <c r="AL26" i="4"/>
  <c r="AK26" i="4"/>
  <c r="AA28" i="4" a="1"/>
  <c r="AA42" i="4" s="1"/>
  <c r="AN26" i="4"/>
  <c r="AP26" i="4"/>
  <c r="K27" i="4"/>
  <c r="AE27" i="4"/>
  <c r="AE48" i="4" s="1"/>
  <c r="K48" i="4"/>
  <c r="X27" i="4"/>
  <c r="AR27" i="4"/>
  <c r="AR48" i="4" s="1"/>
  <c r="X48" i="4"/>
  <c r="W27" i="4"/>
  <c r="W48" i="4"/>
  <c r="N27" i="4"/>
  <c r="T27" i="4"/>
  <c r="AG27" i="4"/>
  <c r="AG48" i="4" s="1"/>
  <c r="M27" i="4"/>
  <c r="M48" i="4"/>
  <c r="P48" i="4"/>
  <c r="AJ27" i="4"/>
  <c r="AJ48" i="4" s="1"/>
  <c r="P27" i="4"/>
  <c r="S48" i="4"/>
  <c r="S27" i="4"/>
  <c r="AM27" i="4"/>
  <c r="AM48" i="4" s="1"/>
  <c r="V48" i="4"/>
  <c r="AP27" i="4"/>
  <c r="AP48" i="4" s="1"/>
  <c r="V27" i="4"/>
  <c r="I27" i="4"/>
  <c r="AC27" i="4"/>
  <c r="AC48" i="4" s="1"/>
  <c r="I48" i="4"/>
  <c r="J48" i="4"/>
  <c r="AD27" i="4"/>
  <c r="AD48" i="4" s="1"/>
  <c r="J27" i="4"/>
  <c r="AO27" i="4"/>
  <c r="AO48" i="4" s="1"/>
  <c r="AH26" i="4"/>
  <c r="L48" i="4"/>
  <c r="AI26" i="4"/>
  <c r="L27" i="4"/>
  <c r="AQ27" i="4"/>
  <c r="AQ48" i="4" s="1"/>
  <c r="AH47" i="4"/>
  <c r="R48" i="4"/>
  <c r="R27" i="4"/>
  <c r="AJ26" i="4"/>
  <c r="N48" i="4"/>
  <c r="AA49" i="4" a="1"/>
  <c r="AC47" i="4"/>
  <c r="O27" i="4"/>
  <c r="T48" i="4"/>
  <c r="O48" i="4"/>
  <c r="AE47" i="4"/>
  <c r="AE26" i="4"/>
  <c r="AQ47" i="4"/>
  <c r="AQ26" i="4"/>
  <c r="AM26" i="4"/>
  <c r="U48" i="4"/>
  <c r="AF47" i="4"/>
  <c r="AF26" i="4"/>
  <c r="AR47" i="4"/>
  <c r="AR26" i="4"/>
  <c r="Q27" i="4"/>
  <c r="AO26" i="4"/>
  <c r="AK27" i="4"/>
  <c r="AK48" i="4" s="1"/>
  <c r="G58" i="4"/>
  <c r="G39" i="4"/>
  <c r="G28" i="4"/>
  <c r="G59" i="4"/>
  <c r="G60" i="4"/>
  <c r="G49" i="4"/>
  <c r="J64" i="8" l="1"/>
  <c r="J65" i="8"/>
  <c r="V62" i="8"/>
  <c r="H77" i="9"/>
  <c r="H76" i="9"/>
  <c r="H78" i="9" s="1"/>
  <c r="V65" i="8"/>
  <c r="V66" i="8"/>
  <c r="V61" i="8"/>
  <c r="V64" i="8"/>
  <c r="V63" i="8"/>
  <c r="U59" i="8"/>
  <c r="U63" i="8" s="1"/>
  <c r="Q17" i="8"/>
  <c r="AK17" i="8"/>
  <c r="AK38" i="8" s="1"/>
  <c r="AN17" i="8"/>
  <c r="AN38" i="8" s="1"/>
  <c r="J62" i="8"/>
  <c r="Q65" i="8"/>
  <c r="Q66" i="8"/>
  <c r="J17" i="8"/>
  <c r="Q61" i="8"/>
  <c r="T17" i="8"/>
  <c r="T38" i="8"/>
  <c r="O38" i="8"/>
  <c r="Q38" i="8"/>
  <c r="O17" i="8"/>
  <c r="Q62" i="8"/>
  <c r="Q64" i="8"/>
  <c r="Q63" i="8"/>
  <c r="AC37" i="8"/>
  <c r="H68" i="8"/>
  <c r="AD37" i="8"/>
  <c r="I68" i="8"/>
  <c r="AA39" i="8" a="1"/>
  <c r="AA39" i="8" s="1"/>
  <c r="S38" i="8"/>
  <c r="R59" i="8"/>
  <c r="S17" i="8"/>
  <c r="O65" i="8"/>
  <c r="O62" i="8"/>
  <c r="O64" i="8"/>
  <c r="O61" i="8"/>
  <c r="O66" i="8"/>
  <c r="O63" i="8"/>
  <c r="N65" i="8"/>
  <c r="N62" i="8"/>
  <c r="N64" i="8"/>
  <c r="N61" i="8"/>
  <c r="N66" i="8"/>
  <c r="N63" i="8"/>
  <c r="T66" i="8"/>
  <c r="T63" i="8"/>
  <c r="T61" i="8"/>
  <c r="T65" i="8"/>
  <c r="T62" i="8"/>
  <c r="T64" i="8"/>
  <c r="AO17" i="8"/>
  <c r="AO38" i="8" s="1"/>
  <c r="I66" i="8"/>
  <c r="I63" i="8"/>
  <c r="I64" i="8"/>
  <c r="I65" i="8"/>
  <c r="I62" i="8"/>
  <c r="I61" i="8"/>
  <c r="K59" i="8"/>
  <c r="AF17" i="8"/>
  <c r="AF38" i="8" s="1"/>
  <c r="L38" i="8"/>
  <c r="L17" i="8"/>
  <c r="U38" i="8"/>
  <c r="U17" i="8"/>
  <c r="AD16" i="8"/>
  <c r="AI17" i="8"/>
  <c r="AI38" i="8" s="1"/>
  <c r="AC16" i="8"/>
  <c r="AA18" i="8" a="1"/>
  <c r="AA28" i="8" s="1"/>
  <c r="AG28" i="8" s="1"/>
  <c r="AG49" i="8" s="1"/>
  <c r="P65" i="8"/>
  <c r="P62" i="8"/>
  <c r="P64" i="8"/>
  <c r="P61" i="8"/>
  <c r="P66" i="8"/>
  <c r="P63" i="8"/>
  <c r="X17" i="8"/>
  <c r="AR17" i="8"/>
  <c r="AR38" i="8" s="1"/>
  <c r="W59" i="8"/>
  <c r="I17" i="8"/>
  <c r="H59" i="8"/>
  <c r="H61" i="8" s="1"/>
  <c r="AC17" i="8"/>
  <c r="AC38" i="8" s="1"/>
  <c r="M64" i="8"/>
  <c r="M62" i="8"/>
  <c r="M61" i="8"/>
  <c r="M66" i="8"/>
  <c r="M63" i="8"/>
  <c r="M65" i="8"/>
  <c r="AD17" i="8"/>
  <c r="AD38" i="8" s="1"/>
  <c r="S66" i="8"/>
  <c r="S63" i="8"/>
  <c r="S65" i="8"/>
  <c r="S62" i="8"/>
  <c r="S64" i="8"/>
  <c r="S61" i="8"/>
  <c r="U61" i="8"/>
  <c r="U66" i="8"/>
  <c r="M38" i="8"/>
  <c r="AG17" i="8"/>
  <c r="AG38" i="8" s="1"/>
  <c r="L59" i="8"/>
  <c r="M17" i="8"/>
  <c r="AM17" i="8"/>
  <c r="AM38" i="8" s="1"/>
  <c r="J38" i="8"/>
  <c r="J20" i="8"/>
  <c r="I20" i="8"/>
  <c r="K21" i="8"/>
  <c r="J21" i="8"/>
  <c r="I21" i="8"/>
  <c r="O32" i="8"/>
  <c r="O53" i="8" s="1"/>
  <c r="N32" i="8"/>
  <c r="N53" i="8" s="1"/>
  <c r="M32" i="8"/>
  <c r="M53" i="8" s="1"/>
  <c r="L32" i="8"/>
  <c r="L53" i="8" s="1"/>
  <c r="U32" i="8"/>
  <c r="U53" i="8" s="1"/>
  <c r="T32" i="8"/>
  <c r="T53" i="8" s="1"/>
  <c r="S32" i="8"/>
  <c r="S53" i="8" s="1"/>
  <c r="R32" i="8"/>
  <c r="R53" i="8" s="1"/>
  <c r="Q32" i="8"/>
  <c r="Q53" i="8" s="1"/>
  <c r="P32" i="8"/>
  <c r="P53" i="8" s="1"/>
  <c r="K32" i="8"/>
  <c r="K53" i="8" s="1"/>
  <c r="J32" i="8"/>
  <c r="J53" i="8" s="1"/>
  <c r="I32" i="8"/>
  <c r="I53" i="8" s="1"/>
  <c r="V32" i="8"/>
  <c r="V53" i="8" s="1"/>
  <c r="H38" i="8"/>
  <c r="Q27" i="8"/>
  <c r="Q48" i="8" s="1"/>
  <c r="P27" i="8"/>
  <c r="P48" i="8" s="1"/>
  <c r="N27" i="8"/>
  <c r="N48" i="8" s="1"/>
  <c r="O27" i="8"/>
  <c r="O48" i="8" s="1"/>
  <c r="M27" i="8"/>
  <c r="M48" i="8" s="1"/>
  <c r="L27" i="8"/>
  <c r="L48" i="8" s="1"/>
  <c r="J27" i="8"/>
  <c r="J48" i="8" s="1"/>
  <c r="I27" i="8"/>
  <c r="I48" i="8" s="1"/>
  <c r="K27" i="8"/>
  <c r="K48" i="8" s="1"/>
  <c r="I23" i="8"/>
  <c r="I44" i="8" s="1"/>
  <c r="K23" i="8"/>
  <c r="K44" i="8" s="1"/>
  <c r="J23" i="8"/>
  <c r="J44" i="8" s="1"/>
  <c r="M23" i="8"/>
  <c r="M44" i="8" s="1"/>
  <c r="L23" i="8"/>
  <c r="L44" i="8" s="1"/>
  <c r="W33" i="8"/>
  <c r="W54" i="8" s="1"/>
  <c r="K33" i="8"/>
  <c r="K54" i="8" s="1"/>
  <c r="V33" i="8"/>
  <c r="V54" i="8" s="1"/>
  <c r="J33" i="8"/>
  <c r="J54" i="8" s="1"/>
  <c r="T33" i="8"/>
  <c r="T54" i="8" s="1"/>
  <c r="U33" i="8"/>
  <c r="U54" i="8" s="1"/>
  <c r="I33" i="8"/>
  <c r="I54" i="8" s="1"/>
  <c r="M33" i="8"/>
  <c r="M54" i="8" s="1"/>
  <c r="L33" i="8"/>
  <c r="L54" i="8" s="1"/>
  <c r="O33" i="8"/>
  <c r="O54" i="8" s="1"/>
  <c r="P33" i="8"/>
  <c r="P54" i="8" s="1"/>
  <c r="S33" i="8"/>
  <c r="S54" i="8" s="1"/>
  <c r="R33" i="8"/>
  <c r="R54" i="8" s="1"/>
  <c r="Q33" i="8"/>
  <c r="Q54" i="8" s="1"/>
  <c r="N33" i="8"/>
  <c r="N54" i="8" s="1"/>
  <c r="K28" i="8"/>
  <c r="K49" i="8" s="1"/>
  <c r="J28" i="8"/>
  <c r="J49" i="8" s="1"/>
  <c r="I28" i="8"/>
  <c r="I49" i="8" s="1"/>
  <c r="R28" i="8"/>
  <c r="R49" i="8" s="1"/>
  <c r="Q28" i="8"/>
  <c r="Q49" i="8" s="1"/>
  <c r="M28" i="8"/>
  <c r="M49" i="8" s="1"/>
  <c r="P28" i="8"/>
  <c r="P49" i="8" s="1"/>
  <c r="O28" i="8"/>
  <c r="O49" i="8" s="1"/>
  <c r="L28" i="8"/>
  <c r="L49" i="8" s="1"/>
  <c r="N28" i="8"/>
  <c r="N49" i="8" s="1"/>
  <c r="K24" i="8"/>
  <c r="K45" i="8" s="1"/>
  <c r="J24" i="8"/>
  <c r="J45" i="8" s="1"/>
  <c r="I24" i="8"/>
  <c r="I45" i="8" s="1"/>
  <c r="M24" i="8"/>
  <c r="M45" i="8" s="1"/>
  <c r="L24" i="8"/>
  <c r="L45" i="8" s="1"/>
  <c r="N24" i="8"/>
  <c r="N45" i="8" s="1"/>
  <c r="Q30" i="8"/>
  <c r="Q51" i="8" s="1"/>
  <c r="P30" i="8"/>
  <c r="P51" i="8" s="1"/>
  <c r="O30" i="8"/>
  <c r="O51" i="8" s="1"/>
  <c r="N30" i="8"/>
  <c r="N51" i="8" s="1"/>
  <c r="S30" i="8"/>
  <c r="S51" i="8" s="1"/>
  <c r="R30" i="8"/>
  <c r="R51" i="8" s="1"/>
  <c r="M30" i="8"/>
  <c r="M51" i="8" s="1"/>
  <c r="L30" i="8"/>
  <c r="L51" i="8" s="1"/>
  <c r="K30" i="8"/>
  <c r="K51" i="8" s="1"/>
  <c r="J30" i="8"/>
  <c r="J51" i="8" s="1"/>
  <c r="I30" i="8"/>
  <c r="I51" i="8" s="1"/>
  <c r="T30" i="8"/>
  <c r="T51" i="8" s="1"/>
  <c r="O29" i="8"/>
  <c r="O50" i="8" s="1"/>
  <c r="N29" i="8"/>
  <c r="N50" i="8" s="1"/>
  <c r="M29" i="8"/>
  <c r="M50" i="8" s="1"/>
  <c r="L29" i="8"/>
  <c r="L50" i="8" s="1"/>
  <c r="S29" i="8"/>
  <c r="S50" i="8" s="1"/>
  <c r="R29" i="8"/>
  <c r="R50" i="8" s="1"/>
  <c r="Q29" i="8"/>
  <c r="Q50" i="8" s="1"/>
  <c r="P29" i="8"/>
  <c r="P50" i="8" s="1"/>
  <c r="I29" i="8"/>
  <c r="I50" i="8" s="1"/>
  <c r="K29" i="8"/>
  <c r="K50" i="8" s="1"/>
  <c r="J29" i="8"/>
  <c r="J50" i="8" s="1"/>
  <c r="K25" i="8"/>
  <c r="K46" i="8" s="1"/>
  <c r="J25" i="8"/>
  <c r="J46" i="8" s="1"/>
  <c r="I25" i="8"/>
  <c r="I46" i="8" s="1"/>
  <c r="O25" i="8"/>
  <c r="O46" i="8" s="1"/>
  <c r="N25" i="8"/>
  <c r="N46" i="8" s="1"/>
  <c r="M25" i="8"/>
  <c r="M46" i="8" s="1"/>
  <c r="L25" i="8"/>
  <c r="L46" i="8" s="1"/>
  <c r="K22" i="8"/>
  <c r="K43" i="8" s="1"/>
  <c r="J22" i="8"/>
  <c r="J43" i="8" s="1"/>
  <c r="I22" i="8"/>
  <c r="I43" i="8" s="1"/>
  <c r="L22" i="8"/>
  <c r="L43" i="8" s="1"/>
  <c r="I26" i="8"/>
  <c r="I47" i="8" s="1"/>
  <c r="P26" i="8"/>
  <c r="P47" i="8" s="1"/>
  <c r="O26" i="8"/>
  <c r="O47" i="8" s="1"/>
  <c r="N26" i="8"/>
  <c r="N47" i="8" s="1"/>
  <c r="J26" i="8"/>
  <c r="J47" i="8" s="1"/>
  <c r="M26" i="8"/>
  <c r="M47" i="8" s="1"/>
  <c r="L26" i="8"/>
  <c r="L47" i="8" s="1"/>
  <c r="K26" i="8"/>
  <c r="K47" i="8" s="1"/>
  <c r="Q31" i="8"/>
  <c r="Q52" i="8" s="1"/>
  <c r="P31" i="8"/>
  <c r="P52" i="8" s="1"/>
  <c r="O31" i="8"/>
  <c r="O52" i="8" s="1"/>
  <c r="N31" i="8"/>
  <c r="N52" i="8" s="1"/>
  <c r="K31" i="8"/>
  <c r="K52" i="8" s="1"/>
  <c r="J31" i="8"/>
  <c r="J52" i="8" s="1"/>
  <c r="I31" i="8"/>
  <c r="I52" i="8" s="1"/>
  <c r="R31" i="8"/>
  <c r="R52" i="8" s="1"/>
  <c r="U31" i="8"/>
  <c r="U52" i="8" s="1"/>
  <c r="M31" i="8"/>
  <c r="M52" i="8" s="1"/>
  <c r="T31" i="8"/>
  <c r="T52" i="8" s="1"/>
  <c r="S31" i="8"/>
  <c r="S52" i="8" s="1"/>
  <c r="L31" i="8"/>
  <c r="L52" i="8" s="1"/>
  <c r="K32" i="4"/>
  <c r="K53" i="4" s="1"/>
  <c r="L32" i="4"/>
  <c r="L53" i="4" s="1"/>
  <c r="I32" i="4"/>
  <c r="I53" i="4" s="1"/>
  <c r="J32" i="4"/>
  <c r="J53" i="4" s="1"/>
  <c r="J38" i="4"/>
  <c r="J59" i="4" s="1"/>
  <c r="K38" i="4"/>
  <c r="K59" i="4" s="1"/>
  <c r="L38" i="4"/>
  <c r="L59" i="4" s="1"/>
  <c r="N38" i="4"/>
  <c r="N59" i="4" s="1"/>
  <c r="O38" i="4"/>
  <c r="O59" i="4" s="1"/>
  <c r="I38" i="4"/>
  <c r="I59" i="4" s="1"/>
  <c r="P38" i="4"/>
  <c r="P59" i="4" s="1"/>
  <c r="Q38" i="4"/>
  <c r="Q59" i="4" s="1"/>
  <c r="R38" i="4"/>
  <c r="R59" i="4" s="1"/>
  <c r="M38" i="4"/>
  <c r="M59" i="4" s="1"/>
  <c r="K34" i="4"/>
  <c r="K55" i="4" s="1"/>
  <c r="I34" i="4"/>
  <c r="I55" i="4" s="1"/>
  <c r="L34" i="4"/>
  <c r="L55" i="4" s="1"/>
  <c r="N34" i="4"/>
  <c r="N55" i="4" s="1"/>
  <c r="J34" i="4"/>
  <c r="J55" i="4" s="1"/>
  <c r="M34" i="4"/>
  <c r="M55" i="4" s="1"/>
  <c r="N35" i="4"/>
  <c r="N56" i="4" s="1"/>
  <c r="O35" i="4"/>
  <c r="O56" i="4" s="1"/>
  <c r="I35" i="4"/>
  <c r="I56" i="4" s="1"/>
  <c r="J35" i="4"/>
  <c r="J56" i="4" s="1"/>
  <c r="K35" i="4"/>
  <c r="K56" i="4" s="1"/>
  <c r="L35" i="4"/>
  <c r="L56" i="4" s="1"/>
  <c r="M35" i="4"/>
  <c r="M56" i="4" s="1"/>
  <c r="J33" i="4"/>
  <c r="J54" i="4" s="1"/>
  <c r="K33" i="4"/>
  <c r="K54" i="4" s="1"/>
  <c r="L33" i="4"/>
  <c r="L54" i="4" s="1"/>
  <c r="M33" i="4"/>
  <c r="M54" i="4" s="1"/>
  <c r="I33" i="4"/>
  <c r="I54" i="4" s="1"/>
  <c r="K43" i="4"/>
  <c r="K64" i="4" s="1"/>
  <c r="W43" i="4"/>
  <c r="W64" i="4" s="1"/>
  <c r="L43" i="4"/>
  <c r="L64" i="4" s="1"/>
  <c r="M43" i="4"/>
  <c r="M64" i="4" s="1"/>
  <c r="N43" i="4"/>
  <c r="N64" i="4" s="1"/>
  <c r="O43" i="4"/>
  <c r="O64" i="4" s="1"/>
  <c r="P43" i="4"/>
  <c r="P64" i="4" s="1"/>
  <c r="J43" i="4"/>
  <c r="J64" i="4" s="1"/>
  <c r="Q43" i="4"/>
  <c r="Q64" i="4" s="1"/>
  <c r="V43" i="4"/>
  <c r="V64" i="4" s="1"/>
  <c r="R43" i="4"/>
  <c r="R64" i="4" s="1"/>
  <c r="S43" i="4"/>
  <c r="S64" i="4" s="1"/>
  <c r="T43" i="4"/>
  <c r="T64" i="4" s="1"/>
  <c r="I43" i="4"/>
  <c r="I64" i="4" s="1"/>
  <c r="U43" i="4"/>
  <c r="U64" i="4" s="1"/>
  <c r="J31" i="4"/>
  <c r="J52" i="4" s="1"/>
  <c r="K31" i="4"/>
  <c r="K52" i="4" s="1"/>
  <c r="I31" i="4"/>
  <c r="I52" i="4" s="1"/>
  <c r="M37" i="4"/>
  <c r="M58" i="4" s="1"/>
  <c r="P37" i="4"/>
  <c r="P58" i="4" s="1"/>
  <c r="N37" i="4"/>
  <c r="N58" i="4" s="1"/>
  <c r="O37" i="4"/>
  <c r="O58" i="4" s="1"/>
  <c r="Q37" i="4"/>
  <c r="Q58" i="4" s="1"/>
  <c r="I37" i="4"/>
  <c r="I58" i="4" s="1"/>
  <c r="J37" i="4"/>
  <c r="J58" i="4" s="1"/>
  <c r="K37" i="4"/>
  <c r="K58" i="4" s="1"/>
  <c r="L37" i="4"/>
  <c r="L58" i="4" s="1"/>
  <c r="J39" i="4"/>
  <c r="J60" i="4" s="1"/>
  <c r="L39" i="4"/>
  <c r="L60" i="4" s="1"/>
  <c r="M39" i="4"/>
  <c r="M60" i="4" s="1"/>
  <c r="N39" i="4"/>
  <c r="N60" i="4" s="1"/>
  <c r="I39" i="4"/>
  <c r="I60" i="4" s="1"/>
  <c r="O39" i="4"/>
  <c r="O60" i="4" s="1"/>
  <c r="K39" i="4"/>
  <c r="K60" i="4" s="1"/>
  <c r="P39" i="4"/>
  <c r="P60" i="4" s="1"/>
  <c r="Q39" i="4"/>
  <c r="Q60" i="4" s="1"/>
  <c r="R39" i="4"/>
  <c r="R60" i="4" s="1"/>
  <c r="S39" i="4"/>
  <c r="S60" i="4" s="1"/>
  <c r="T42" i="4"/>
  <c r="T63" i="4" s="1"/>
  <c r="U42" i="4"/>
  <c r="U63" i="4" s="1"/>
  <c r="K42" i="4"/>
  <c r="K63" i="4" s="1"/>
  <c r="J42" i="4"/>
  <c r="J63" i="4" s="1"/>
  <c r="V42" i="4"/>
  <c r="V63" i="4" s="1"/>
  <c r="L42" i="4"/>
  <c r="L63" i="4" s="1"/>
  <c r="M42" i="4"/>
  <c r="M63" i="4" s="1"/>
  <c r="N42" i="4"/>
  <c r="N63" i="4" s="1"/>
  <c r="I42" i="4"/>
  <c r="I63" i="4" s="1"/>
  <c r="R42" i="4"/>
  <c r="R63" i="4" s="1"/>
  <c r="O42" i="4"/>
  <c r="O63" i="4" s="1"/>
  <c r="S42" i="4"/>
  <c r="S63" i="4" s="1"/>
  <c r="P42" i="4"/>
  <c r="P63" i="4" s="1"/>
  <c r="Q42" i="4"/>
  <c r="Q63" i="4" s="1"/>
  <c r="I36" i="4"/>
  <c r="I57" i="4" s="1"/>
  <c r="J36" i="4"/>
  <c r="J57" i="4" s="1"/>
  <c r="K36" i="4"/>
  <c r="K57" i="4" s="1"/>
  <c r="L36" i="4"/>
  <c r="L57" i="4" s="1"/>
  <c r="P36" i="4"/>
  <c r="P57" i="4" s="1"/>
  <c r="M36" i="4"/>
  <c r="M57" i="4" s="1"/>
  <c r="N36" i="4"/>
  <c r="N57" i="4" s="1"/>
  <c r="O36" i="4"/>
  <c r="O57" i="4" s="1"/>
  <c r="J30" i="4"/>
  <c r="J51" i="4" s="1"/>
  <c r="I30" i="4"/>
  <c r="I51" i="4" s="1"/>
  <c r="T41" i="4"/>
  <c r="T62" i="4" s="1"/>
  <c r="U41" i="4"/>
  <c r="U62" i="4" s="1"/>
  <c r="J41" i="4"/>
  <c r="J62" i="4" s="1"/>
  <c r="K41" i="4"/>
  <c r="K62" i="4" s="1"/>
  <c r="L41" i="4"/>
  <c r="L62" i="4" s="1"/>
  <c r="M41" i="4"/>
  <c r="M62" i="4" s="1"/>
  <c r="P41" i="4"/>
  <c r="P62" i="4" s="1"/>
  <c r="N41" i="4"/>
  <c r="N62" i="4" s="1"/>
  <c r="R41" i="4"/>
  <c r="R62" i="4" s="1"/>
  <c r="O41" i="4"/>
  <c r="O62" i="4" s="1"/>
  <c r="I41" i="4"/>
  <c r="I62" i="4" s="1"/>
  <c r="Q41" i="4"/>
  <c r="Q62" i="4" s="1"/>
  <c r="S41" i="4"/>
  <c r="S62" i="4" s="1"/>
  <c r="H48" i="4"/>
  <c r="AL42" i="4"/>
  <c r="AL63" i="4" s="1"/>
  <c r="AK42" i="4"/>
  <c r="AK63" i="4" s="1"/>
  <c r="AC42" i="4"/>
  <c r="AC63" i="4" s="1"/>
  <c r="AM42" i="4"/>
  <c r="AM63" i="4" s="1"/>
  <c r="AJ42" i="4"/>
  <c r="AJ63" i="4" s="1"/>
  <c r="AN42" i="4"/>
  <c r="AN63" i="4" s="1"/>
  <c r="AO42" i="4"/>
  <c r="AO63" i="4" s="1"/>
  <c r="AD42" i="4"/>
  <c r="AD63" i="4" s="1"/>
  <c r="AP42" i="4"/>
  <c r="AP63" i="4" s="1"/>
  <c r="AE42" i="4"/>
  <c r="AE63" i="4" s="1"/>
  <c r="AF42" i="4"/>
  <c r="AF63" i="4" s="1"/>
  <c r="AI42" i="4"/>
  <c r="AI63" i="4" s="1"/>
  <c r="AG42" i="4"/>
  <c r="AG63" i="4" s="1"/>
  <c r="AH42" i="4"/>
  <c r="AH63" i="4" s="1"/>
  <c r="AA36" i="4"/>
  <c r="AA35" i="4"/>
  <c r="AA37" i="4"/>
  <c r="AB48" i="4" s="1"/>
  <c r="AA38" i="4"/>
  <c r="AA39" i="4"/>
  <c r="AA31" i="4"/>
  <c r="AA40" i="4"/>
  <c r="AA43" i="4"/>
  <c r="AA33" i="4"/>
  <c r="AA29" i="4"/>
  <c r="AC29" i="4" s="1"/>
  <c r="AA28" i="4"/>
  <c r="AA41" i="4"/>
  <c r="AA32" i="4"/>
  <c r="AA30" i="4"/>
  <c r="AA34" i="4"/>
  <c r="AA63" i="4"/>
  <c r="AA51" i="4"/>
  <c r="AA62" i="4"/>
  <c r="AA50" i="4"/>
  <c r="AA61" i="4"/>
  <c r="AA49" i="4"/>
  <c r="AA60" i="4"/>
  <c r="AA53" i="4"/>
  <c r="AA64" i="4"/>
  <c r="AA59" i="4"/>
  <c r="AA58" i="4"/>
  <c r="AA57" i="4"/>
  <c r="AA56" i="4"/>
  <c r="AA54" i="4"/>
  <c r="AA55" i="4"/>
  <c r="AA52" i="4"/>
  <c r="AC50" i="4" l="1"/>
  <c r="U62" i="8"/>
  <c r="U65" i="8"/>
  <c r="U64" i="8"/>
  <c r="H80" i="9"/>
  <c r="H81" i="9" s="1"/>
  <c r="AI28" i="8"/>
  <c r="AI49" i="8" s="1"/>
  <c r="AA32" i="8"/>
  <c r="AN32" i="8" s="1"/>
  <c r="AN53" i="8" s="1"/>
  <c r="H39" i="8" a="1"/>
  <c r="H39" i="8" s="1"/>
  <c r="AA51" i="8"/>
  <c r="AA44" i="8"/>
  <c r="AA33" i="8"/>
  <c r="AQ33" i="8" s="1"/>
  <c r="AQ54" i="8" s="1"/>
  <c r="W69" i="8" s="1"/>
  <c r="AE28" i="8"/>
  <c r="AE49" i="8" s="1"/>
  <c r="AA42" i="8"/>
  <c r="AA50" i="8"/>
  <c r="AA49" i="8"/>
  <c r="AA24" i="8"/>
  <c r="AE24" i="8" s="1"/>
  <c r="AE45" i="8" s="1"/>
  <c r="AH28" i="8"/>
  <c r="AH49" i="8" s="1"/>
  <c r="AA18" i="8"/>
  <c r="AA52" i="8"/>
  <c r="AA41" i="8"/>
  <c r="AA54" i="8"/>
  <c r="AK28" i="8"/>
  <c r="AK49" i="8" s="1"/>
  <c r="AA48" i="8"/>
  <c r="AA27" i="8"/>
  <c r="AJ27" i="8" s="1"/>
  <c r="AJ48" i="8" s="1"/>
  <c r="AL28" i="8"/>
  <c r="AL49" i="8" s="1"/>
  <c r="R69" i="8" s="1"/>
  <c r="AA46" i="8"/>
  <c r="AC28" i="8"/>
  <c r="AC49" i="8" s="1"/>
  <c r="AA40" i="8"/>
  <c r="AA45" i="8"/>
  <c r="AA47" i="8"/>
  <c r="AA19" i="8"/>
  <c r="AC19" i="8" s="1"/>
  <c r="AA26" i="8"/>
  <c r="AH26" i="8" s="1"/>
  <c r="AH47" i="8" s="1"/>
  <c r="AA43" i="8"/>
  <c r="AA53" i="8"/>
  <c r="AJ28" i="8"/>
  <c r="AJ49" i="8" s="1"/>
  <c r="AA25" i="8"/>
  <c r="AC25" i="8" s="1"/>
  <c r="AC46" i="8" s="1"/>
  <c r="AA22" i="8"/>
  <c r="AF22" i="8" s="1"/>
  <c r="AF43" i="8" s="1"/>
  <c r="L69" i="8" s="1"/>
  <c r="L64" i="8"/>
  <c r="L61" i="8"/>
  <c r="L66" i="8"/>
  <c r="L63" i="8"/>
  <c r="L65" i="8"/>
  <c r="L62" i="8"/>
  <c r="AB39" i="8" a="1"/>
  <c r="AB18" i="8" a="1"/>
  <c r="AA21" i="8"/>
  <c r="AC21" i="8" s="1"/>
  <c r="AC42" i="8" s="1"/>
  <c r="K61" i="8"/>
  <c r="K64" i="8"/>
  <c r="K66" i="8"/>
  <c r="K63" i="8"/>
  <c r="K65" i="8"/>
  <c r="K62" i="8"/>
  <c r="H64" i="8"/>
  <c r="H66" i="8"/>
  <c r="H63" i="8"/>
  <c r="H65" i="8"/>
  <c r="H62" i="8"/>
  <c r="AD28" i="8"/>
  <c r="AD49" i="8" s="1"/>
  <c r="AA31" i="8"/>
  <c r="AM31" i="8" s="1"/>
  <c r="AM52" i="8" s="1"/>
  <c r="AA29" i="8"/>
  <c r="AC29" i="8" s="1"/>
  <c r="AC50" i="8" s="1"/>
  <c r="R66" i="8"/>
  <c r="R63" i="8"/>
  <c r="R65" i="8"/>
  <c r="R62" i="8"/>
  <c r="R64" i="8"/>
  <c r="R61" i="8"/>
  <c r="W64" i="8"/>
  <c r="W61" i="8"/>
  <c r="W66" i="8"/>
  <c r="W63" i="8"/>
  <c r="W65" i="8"/>
  <c r="W62" i="8"/>
  <c r="AF28" i="8"/>
  <c r="AF49" i="8" s="1"/>
  <c r="AA23" i="8"/>
  <c r="AC23" i="8" s="1"/>
  <c r="AC44" i="8" s="1"/>
  <c r="AA30" i="8"/>
  <c r="H18" i="8" a="1"/>
  <c r="H25" i="8" s="1"/>
  <c r="AA20" i="8"/>
  <c r="AC20" i="8" s="1"/>
  <c r="I42" i="8"/>
  <c r="J42" i="8"/>
  <c r="K42" i="8"/>
  <c r="AD33" i="4"/>
  <c r="AD54" i="4" s="1"/>
  <c r="AE33" i="4"/>
  <c r="AE54" i="4" s="1"/>
  <c r="AC33" i="4"/>
  <c r="AC54" i="4" s="1"/>
  <c r="AF33" i="4"/>
  <c r="AF54" i="4" s="1"/>
  <c r="AG33" i="4"/>
  <c r="AG54" i="4" s="1"/>
  <c r="AK40" i="4"/>
  <c r="AK61" i="4" s="1"/>
  <c r="AH40" i="4"/>
  <c r="AH61" i="4" s="1"/>
  <c r="AL40" i="4"/>
  <c r="AL61" i="4" s="1"/>
  <c r="AM40" i="4"/>
  <c r="AM61" i="4" s="1"/>
  <c r="AN40" i="4"/>
  <c r="AN61" i="4" s="1"/>
  <c r="AD40" i="4"/>
  <c r="AD61" i="4" s="1"/>
  <c r="AE40" i="4"/>
  <c r="AE61" i="4" s="1"/>
  <c r="AJ40" i="4"/>
  <c r="AJ61" i="4" s="1"/>
  <c r="AF40" i="4"/>
  <c r="AF61" i="4" s="1"/>
  <c r="AG40" i="4"/>
  <c r="AG61" i="4" s="1"/>
  <c r="AC40" i="4"/>
  <c r="AC61" i="4" s="1"/>
  <c r="AI40" i="4"/>
  <c r="AI61" i="4" s="1"/>
  <c r="AC31" i="4"/>
  <c r="AC52" i="4" s="1"/>
  <c r="AE31" i="4"/>
  <c r="AE52" i="4" s="1"/>
  <c r="AD31" i="4"/>
  <c r="AD52" i="4" s="1"/>
  <c r="AL39" i="4"/>
  <c r="AL60" i="4" s="1"/>
  <c r="AJ39" i="4"/>
  <c r="AJ60" i="4" s="1"/>
  <c r="AK39" i="4"/>
  <c r="AK60" i="4" s="1"/>
  <c r="AM39" i="4"/>
  <c r="AM60" i="4" s="1"/>
  <c r="AD39" i="4"/>
  <c r="AD60" i="4" s="1"/>
  <c r="AE39" i="4"/>
  <c r="AE60" i="4" s="1"/>
  <c r="AF39" i="4"/>
  <c r="AF60" i="4" s="1"/>
  <c r="AG39" i="4"/>
  <c r="AG60" i="4" s="1"/>
  <c r="AI39" i="4"/>
  <c r="AI60" i="4" s="1"/>
  <c r="AH39" i="4"/>
  <c r="AH60" i="4" s="1"/>
  <c r="AC39" i="4"/>
  <c r="AC60" i="4" s="1"/>
  <c r="AH34" i="4"/>
  <c r="AH55" i="4" s="1"/>
  <c r="AG34" i="4"/>
  <c r="AG55" i="4" s="1"/>
  <c r="AC34" i="4"/>
  <c r="AC55" i="4" s="1"/>
  <c r="AE34" i="4"/>
  <c r="AE55" i="4" s="1"/>
  <c r="AD34" i="4"/>
  <c r="AD55" i="4" s="1"/>
  <c r="AF34" i="4"/>
  <c r="AF55" i="4" s="1"/>
  <c r="AD38" i="4"/>
  <c r="AD59" i="4" s="1"/>
  <c r="AE38" i="4"/>
  <c r="AE59" i="4" s="1"/>
  <c r="AF38" i="4"/>
  <c r="AF59" i="4" s="1"/>
  <c r="AG38" i="4"/>
  <c r="AG59" i="4" s="1"/>
  <c r="AL38" i="4"/>
  <c r="AL59" i="4" s="1"/>
  <c r="AH38" i="4"/>
  <c r="AH59" i="4" s="1"/>
  <c r="AI38" i="4"/>
  <c r="AI59" i="4" s="1"/>
  <c r="AC38" i="4"/>
  <c r="AC59" i="4" s="1"/>
  <c r="AJ38" i="4"/>
  <c r="AJ59" i="4" s="1"/>
  <c r="AK38" i="4"/>
  <c r="AK59" i="4" s="1"/>
  <c r="AD30" i="4"/>
  <c r="AD51" i="4" s="1"/>
  <c r="AC30" i="4"/>
  <c r="AC51" i="4" s="1"/>
  <c r="AD35" i="4"/>
  <c r="AD56" i="4" s="1"/>
  <c r="AE35" i="4"/>
  <c r="AE56" i="4" s="1"/>
  <c r="AF35" i="4"/>
  <c r="AF56" i="4" s="1"/>
  <c r="AC35" i="4"/>
  <c r="AC56" i="4" s="1"/>
  <c r="AG35" i="4"/>
  <c r="AG56" i="4" s="1"/>
  <c r="AH35" i="4"/>
  <c r="AH56" i="4" s="1"/>
  <c r="AI35" i="4"/>
  <c r="AI56" i="4" s="1"/>
  <c r="AN43" i="4"/>
  <c r="AN64" i="4" s="1"/>
  <c r="AC43" i="4"/>
  <c r="AC64" i="4" s="1"/>
  <c r="AO43" i="4"/>
  <c r="AO64" i="4" s="1"/>
  <c r="AD43" i="4"/>
  <c r="AD64" i="4" s="1"/>
  <c r="AP43" i="4"/>
  <c r="AP64" i="4" s="1"/>
  <c r="AE43" i="4"/>
  <c r="AE64" i="4" s="1"/>
  <c r="AQ43" i="4"/>
  <c r="AQ64" i="4" s="1"/>
  <c r="AF43" i="4"/>
  <c r="AF64" i="4" s="1"/>
  <c r="AL43" i="4"/>
  <c r="AL64" i="4" s="1"/>
  <c r="AM43" i="4"/>
  <c r="AM64" i="4" s="1"/>
  <c r="AG43" i="4"/>
  <c r="AG64" i="4" s="1"/>
  <c r="AH43" i="4"/>
  <c r="AH64" i="4" s="1"/>
  <c r="AI43" i="4"/>
  <c r="AI64" i="4" s="1"/>
  <c r="AJ43" i="4"/>
  <c r="AJ64" i="4" s="1"/>
  <c r="AK43" i="4"/>
  <c r="AK64" i="4" s="1"/>
  <c r="AE37" i="4"/>
  <c r="AE58" i="4" s="1"/>
  <c r="AF37" i="4"/>
  <c r="AF58" i="4" s="1"/>
  <c r="AD37" i="4"/>
  <c r="AD58" i="4" s="1"/>
  <c r="AG37" i="4"/>
  <c r="AG58" i="4" s="1"/>
  <c r="AH37" i="4"/>
  <c r="AH58" i="4" s="1"/>
  <c r="AI37" i="4"/>
  <c r="AI58" i="4" s="1"/>
  <c r="AJ37" i="4"/>
  <c r="AJ58" i="4" s="1"/>
  <c r="AK37" i="4"/>
  <c r="AK58" i="4" s="1"/>
  <c r="AC37" i="4"/>
  <c r="AC58" i="4" s="1"/>
  <c r="AC32" i="4"/>
  <c r="AC53" i="4" s="1"/>
  <c r="AD32" i="4"/>
  <c r="AD53" i="4" s="1"/>
  <c r="AE32" i="4"/>
  <c r="AE53" i="4" s="1"/>
  <c r="AF32" i="4"/>
  <c r="AF53" i="4" s="1"/>
  <c r="AI36" i="4"/>
  <c r="AI57" i="4" s="1"/>
  <c r="AJ36" i="4"/>
  <c r="AJ57" i="4" s="1"/>
  <c r="AF36" i="4"/>
  <c r="AF57" i="4" s="1"/>
  <c r="AH36" i="4"/>
  <c r="AH57" i="4" s="1"/>
  <c r="AC36" i="4"/>
  <c r="AC57" i="4" s="1"/>
  <c r="AD36" i="4"/>
  <c r="AD57" i="4" s="1"/>
  <c r="AG36" i="4"/>
  <c r="AG57" i="4" s="1"/>
  <c r="AE36" i="4"/>
  <c r="AE57" i="4" s="1"/>
  <c r="AK41" i="4"/>
  <c r="AK62" i="4" s="1"/>
  <c r="AL41" i="4"/>
  <c r="AL62" i="4" s="1"/>
  <c r="AC41" i="4"/>
  <c r="AC62" i="4" s="1"/>
  <c r="AM41" i="4"/>
  <c r="AM62" i="4" s="1"/>
  <c r="AN41" i="4"/>
  <c r="AN62" i="4" s="1"/>
  <c r="AJ41" i="4"/>
  <c r="AJ62" i="4" s="1"/>
  <c r="AO41" i="4"/>
  <c r="AO62" i="4" s="1"/>
  <c r="AH41" i="4"/>
  <c r="AH62" i="4" s="1"/>
  <c r="AD41" i="4"/>
  <c r="AD62" i="4" s="1"/>
  <c r="AE41" i="4"/>
  <c r="AE62" i="4" s="1"/>
  <c r="AF41" i="4"/>
  <c r="AF62" i="4" s="1"/>
  <c r="AI41" i="4"/>
  <c r="AI62" i="4" s="1"/>
  <c r="AG41" i="4"/>
  <c r="AG62" i="4" s="1"/>
  <c r="AJ32" i="8" l="1"/>
  <c r="AJ53" i="8" s="1"/>
  <c r="AC32" i="8"/>
  <c r="AC53" i="8" s="1"/>
  <c r="AI32" i="8"/>
  <c r="AI53" i="8" s="1"/>
  <c r="AH33" i="8"/>
  <c r="AH54" i="8" s="1"/>
  <c r="AK33" i="8"/>
  <c r="AK54" i="8" s="1"/>
  <c r="AE32" i="8"/>
  <c r="AE53" i="8" s="1"/>
  <c r="AI33" i="8"/>
  <c r="AI54" i="8" s="1"/>
  <c r="AC33" i="8"/>
  <c r="AC54" i="8" s="1"/>
  <c r="H69" i="4" a="1"/>
  <c r="H69" i="4" s="1"/>
  <c r="H71" i="4" s="1"/>
  <c r="H72" i="4" s="1"/>
  <c r="AK32" i="8"/>
  <c r="AK53" i="8" s="1"/>
  <c r="H52" i="8"/>
  <c r="H50" i="8"/>
  <c r="H53" i="8"/>
  <c r="H51" i="8"/>
  <c r="H54" i="8"/>
  <c r="H40" i="8"/>
  <c r="I40" i="8" s="1"/>
  <c r="H45" i="8"/>
  <c r="H43" i="8"/>
  <c r="H48" i="8"/>
  <c r="H47" i="8"/>
  <c r="H44" i="8"/>
  <c r="H46" i="8"/>
  <c r="H41" i="8"/>
  <c r="H49" i="8"/>
  <c r="AF32" i="8"/>
  <c r="AF53" i="8" s="1"/>
  <c r="H42" i="8"/>
  <c r="AD32" i="8"/>
  <c r="AD53" i="8" s="1"/>
  <c r="AM32" i="8"/>
  <c r="AM53" i="8" s="1"/>
  <c r="AL32" i="8"/>
  <c r="AL53" i="8" s="1"/>
  <c r="AG33" i="8"/>
  <c r="AG54" i="8" s="1"/>
  <c r="AF26" i="8"/>
  <c r="AF47" i="8" s="1"/>
  <c r="AG32" i="8"/>
  <c r="AG53" i="8" s="1"/>
  <c r="AJ33" i="8"/>
  <c r="AJ54" i="8" s="1"/>
  <c r="AN33" i="8"/>
  <c r="AN54" i="8" s="1"/>
  <c r="AP33" i="8"/>
  <c r="AP54" i="8" s="1"/>
  <c r="AP32" i="8"/>
  <c r="AP53" i="8" s="1"/>
  <c r="V69" i="8" s="1"/>
  <c r="V76" i="8" s="1"/>
  <c r="V77" i="8" s="1"/>
  <c r="AH32" i="8"/>
  <c r="AH53" i="8" s="1"/>
  <c r="AO32" i="8"/>
  <c r="AO53" i="8" s="1"/>
  <c r="R76" i="8"/>
  <c r="R77" i="8" s="1"/>
  <c r="AD24" i="8"/>
  <c r="AD45" i="8" s="1"/>
  <c r="AF27" i="8"/>
  <c r="AF48" i="8" s="1"/>
  <c r="AE27" i="8"/>
  <c r="AE48" i="8" s="1"/>
  <c r="AE33" i="8"/>
  <c r="AE54" i="8" s="1"/>
  <c r="AM33" i="8"/>
  <c r="AM54" i="8" s="1"/>
  <c r="AG24" i="8"/>
  <c r="AG45" i="8" s="1"/>
  <c r="AH24" i="8"/>
  <c r="AH45" i="8" s="1"/>
  <c r="N69" i="8" s="1"/>
  <c r="N76" i="8" s="1"/>
  <c r="N77" i="8" s="1"/>
  <c r="AO33" i="8"/>
  <c r="AO54" i="8" s="1"/>
  <c r="AC24" i="8"/>
  <c r="AC45" i="8" s="1"/>
  <c r="AD27" i="8"/>
  <c r="AD48" i="8" s="1"/>
  <c r="AD26" i="8"/>
  <c r="AD47" i="8" s="1"/>
  <c r="AL33" i="8"/>
  <c r="AL54" i="8" s="1"/>
  <c r="AD33" i="8"/>
  <c r="AD54" i="8" s="1"/>
  <c r="W76" i="8"/>
  <c r="W77" i="8" s="1"/>
  <c r="L76" i="8"/>
  <c r="L77" i="8" s="1"/>
  <c r="AF33" i="8"/>
  <c r="AF54" i="8" s="1"/>
  <c r="H20" i="8"/>
  <c r="AF24" i="8"/>
  <c r="AF45" i="8" s="1"/>
  <c r="H19" i="8"/>
  <c r="H21" i="8"/>
  <c r="AE26" i="8"/>
  <c r="AE47" i="8" s="1"/>
  <c r="AI31" i="8"/>
  <c r="AI52" i="8" s="1"/>
  <c r="AJ26" i="8"/>
  <c r="AJ47" i="8" s="1"/>
  <c r="P69" i="8" s="1"/>
  <c r="P76" i="8" s="1"/>
  <c r="P77" i="8" s="1"/>
  <c r="AG26" i="8"/>
  <c r="AG47" i="8" s="1"/>
  <c r="AB38" i="8"/>
  <c r="AC27" i="8"/>
  <c r="AC48" i="8" s="1"/>
  <c r="AI26" i="8"/>
  <c r="AI47" i="8" s="1"/>
  <c r="AH27" i="8"/>
  <c r="AH48" i="8" s="1"/>
  <c r="AF25" i="8"/>
  <c r="AF46" i="8" s="1"/>
  <c r="AK27" i="8"/>
  <c r="AK48" i="8" s="1"/>
  <c r="Q69" i="8" s="1"/>
  <c r="Q76" i="8" s="1"/>
  <c r="Q77" i="8" s="1"/>
  <c r="AE25" i="8"/>
  <c r="AE46" i="8" s="1"/>
  <c r="AE22" i="8"/>
  <c r="AE43" i="8" s="1"/>
  <c r="AC31" i="8"/>
  <c r="AC52" i="8" s="1"/>
  <c r="AI27" i="8"/>
  <c r="AI48" i="8" s="1"/>
  <c r="AC26" i="8"/>
  <c r="AC47" i="8" s="1"/>
  <c r="AN31" i="8"/>
  <c r="AN52" i="8" s="1"/>
  <c r="AG27" i="8"/>
  <c r="AG48" i="8" s="1"/>
  <c r="AC22" i="8"/>
  <c r="AC43" i="8" s="1"/>
  <c r="AD22" i="8"/>
  <c r="AD43" i="8" s="1"/>
  <c r="AD23" i="8"/>
  <c r="AD44" i="8" s="1"/>
  <c r="AK29" i="8"/>
  <c r="AK50" i="8" s="1"/>
  <c r="AH25" i="8"/>
  <c r="AH46" i="8" s="1"/>
  <c r="AI25" i="8"/>
  <c r="AI46" i="8" s="1"/>
  <c r="O69" i="8" s="1"/>
  <c r="O76" i="8" s="1"/>
  <c r="O77" i="8" s="1"/>
  <c r="AD25" i="8"/>
  <c r="AD46" i="8" s="1"/>
  <c r="AG25" i="8"/>
  <c r="AG46" i="8" s="1"/>
  <c r="AD20" i="8"/>
  <c r="AD41" i="8" s="1"/>
  <c r="J69" i="8" s="1"/>
  <c r="J71" i="8" s="1"/>
  <c r="H29" i="8"/>
  <c r="H28" i="8"/>
  <c r="H27" i="8"/>
  <c r="H30" i="8"/>
  <c r="H31" i="8"/>
  <c r="H26" i="8"/>
  <c r="H32" i="8"/>
  <c r="AB32" i="8"/>
  <c r="AB31" i="8"/>
  <c r="AB26" i="8"/>
  <c r="AB24" i="8"/>
  <c r="AB25" i="8"/>
  <c r="AB19" i="8"/>
  <c r="AB23" i="8"/>
  <c r="AB30" i="8"/>
  <c r="AB21" i="8"/>
  <c r="AB22" i="8"/>
  <c r="AB18" i="8"/>
  <c r="AB29" i="8"/>
  <c r="AB20" i="8"/>
  <c r="AB28" i="8"/>
  <c r="AB33" i="8"/>
  <c r="AB27" i="8"/>
  <c r="AB39" i="8"/>
  <c r="AB54" i="8"/>
  <c r="AB53" i="8"/>
  <c r="AB43" i="8"/>
  <c r="AB48" i="8"/>
  <c r="AB46" i="8"/>
  <c r="AB40" i="8"/>
  <c r="AC40" i="8" s="1"/>
  <c r="I69" i="8" s="1"/>
  <c r="I71" i="8" s="1"/>
  <c r="AB52" i="8"/>
  <c r="AB51" i="8"/>
  <c r="AB50" i="8"/>
  <c r="AB45" i="8"/>
  <c r="AB49" i="8"/>
  <c r="AB44" i="8"/>
  <c r="AB47" i="8"/>
  <c r="AB42" i="8"/>
  <c r="AB41" i="8"/>
  <c r="AC41" i="8" s="1"/>
  <c r="AL29" i="8"/>
  <c r="AL50" i="8" s="1"/>
  <c r="J41" i="8"/>
  <c r="AF31" i="8"/>
  <c r="AF52" i="8" s="1"/>
  <c r="AH31" i="8"/>
  <c r="AH52" i="8" s="1"/>
  <c r="AL31" i="8"/>
  <c r="AL52" i="8" s="1"/>
  <c r="AK31" i="8"/>
  <c r="AK52" i="8" s="1"/>
  <c r="H22" i="8"/>
  <c r="H18" i="8"/>
  <c r="AE31" i="8"/>
  <c r="AE52" i="8" s="1"/>
  <c r="AG23" i="8"/>
  <c r="AG44" i="8" s="1"/>
  <c r="M69" i="8" s="1"/>
  <c r="M76" i="8" s="1"/>
  <c r="M77" i="8" s="1"/>
  <c r="AE23" i="8"/>
  <c r="AE44" i="8" s="1"/>
  <c r="AD30" i="8"/>
  <c r="AD51" i="8" s="1"/>
  <c r="AI30" i="8"/>
  <c r="AI51" i="8" s="1"/>
  <c r="AM30" i="8"/>
  <c r="AM51" i="8" s="1"/>
  <c r="AK30" i="8"/>
  <c r="AK51" i="8" s="1"/>
  <c r="AJ30" i="8"/>
  <c r="AJ51" i="8" s="1"/>
  <c r="AH30" i="8"/>
  <c r="AH51" i="8" s="1"/>
  <c r="AL30" i="8"/>
  <c r="AL51" i="8" s="1"/>
  <c r="AC30" i="8"/>
  <c r="AC51" i="8" s="1"/>
  <c r="AN30" i="8"/>
  <c r="AN51" i="8" s="1"/>
  <c r="T69" i="8" s="1"/>
  <c r="T76" i="8" s="1"/>
  <c r="T77" i="8" s="1"/>
  <c r="AG30" i="8"/>
  <c r="AG51" i="8" s="1"/>
  <c r="AF30" i="8"/>
  <c r="AF51" i="8" s="1"/>
  <c r="AE30" i="8"/>
  <c r="AE51" i="8" s="1"/>
  <c r="H33" i="8"/>
  <c r="AD31" i="8"/>
  <c r="AD52" i="8" s="1"/>
  <c r="AD21" i="8"/>
  <c r="AD42" i="8" s="1"/>
  <c r="AE21" i="8"/>
  <c r="AE42" i="8" s="1"/>
  <c r="K69" i="8" s="1"/>
  <c r="H24" i="8"/>
  <c r="AO31" i="8"/>
  <c r="AO52" i="8" s="1"/>
  <c r="U69" i="8" s="1"/>
  <c r="U76" i="8" s="1"/>
  <c r="U77" i="8" s="1"/>
  <c r="AF29" i="8"/>
  <c r="AF50" i="8" s="1"/>
  <c r="AD29" i="8"/>
  <c r="AD50" i="8" s="1"/>
  <c r="AM29" i="8"/>
  <c r="AM50" i="8" s="1"/>
  <c r="S69" i="8" s="1"/>
  <c r="S76" i="8" s="1"/>
  <c r="S77" i="8" s="1"/>
  <c r="AE29" i="8"/>
  <c r="AE50" i="8" s="1"/>
  <c r="AH29" i="8"/>
  <c r="AH50" i="8" s="1"/>
  <c r="AJ29" i="8"/>
  <c r="AJ50" i="8" s="1"/>
  <c r="AI29" i="8"/>
  <c r="AI50" i="8" s="1"/>
  <c r="AG29" i="8"/>
  <c r="AG50" i="8" s="1"/>
  <c r="AG31" i="8"/>
  <c r="AG52" i="8" s="1"/>
  <c r="H23" i="8"/>
  <c r="AF23" i="8"/>
  <c r="AF44" i="8" s="1"/>
  <c r="AJ31" i="8"/>
  <c r="AJ52" i="8" s="1"/>
  <c r="I41" i="8"/>
  <c r="I73" i="8" l="1"/>
  <c r="I72" i="8"/>
  <c r="I74" i="8" s="1"/>
  <c r="J73" i="8"/>
  <c r="J72" i="8"/>
  <c r="J74" i="8" s="1"/>
  <c r="H16" i="7" a="1"/>
  <c r="H16" i="7" s="1"/>
  <c r="H15" i="7" a="1"/>
  <c r="H15" i="7" s="1"/>
  <c r="H14" i="7"/>
  <c r="P10" i="7" l="1"/>
  <c r="Q10" i="7"/>
  <c r="R10" i="7"/>
  <c r="S10" i="7"/>
  <c r="T10" i="7"/>
  <c r="U10" i="7"/>
  <c r="V10" i="7"/>
  <c r="W10" i="7"/>
  <c r="N7" i="7"/>
  <c r="P7" i="7"/>
  <c r="G7" i="7"/>
  <c r="D7" i="7"/>
  <c r="O7" i="7" s="1"/>
  <c r="N65" i="2"/>
  <c r="O65" i="2"/>
  <c r="P65" i="2"/>
  <c r="Q65" i="2"/>
  <c r="R65" i="2"/>
  <c r="N66" i="2"/>
  <c r="O66" i="2"/>
  <c r="P66" i="2"/>
  <c r="Q66" i="2"/>
  <c r="R66" i="2"/>
  <c r="N67" i="2"/>
  <c r="O67" i="2"/>
  <c r="P67" i="2"/>
  <c r="Q67" i="2"/>
  <c r="R67" i="2"/>
  <c r="N68" i="2"/>
  <c r="O68" i="2"/>
  <c r="P68" i="2"/>
  <c r="Q68" i="2"/>
  <c r="R68" i="2"/>
  <c r="O64" i="2"/>
  <c r="P64" i="2"/>
  <c r="Q64" i="2"/>
  <c r="R64" i="2"/>
  <c r="N64" i="2"/>
  <c r="L68" i="2"/>
  <c r="L67" i="2"/>
  <c r="L66" i="2"/>
  <c r="L65" i="2"/>
  <c r="L64" i="2"/>
  <c r="D65" i="2"/>
  <c r="D21" i="6"/>
  <c r="W20" i="6" a="1"/>
  <c r="W20" i="6" s="1"/>
  <c r="V20" i="6"/>
  <c r="V20" i="6" a="1"/>
  <c r="U20" i="6" a="1"/>
  <c r="U20" i="6" s="1"/>
  <c r="T20" i="6" a="1"/>
  <c r="T20" i="6" s="1"/>
  <c r="S20" i="6" a="1"/>
  <c r="S20" i="6" s="1"/>
  <c r="R20" i="6" a="1"/>
  <c r="R20" i="6" s="1"/>
  <c r="Q20" i="6" a="1"/>
  <c r="Q20" i="6" s="1"/>
  <c r="P20" i="6"/>
  <c r="P20" i="6" a="1"/>
  <c r="O20" i="6" a="1"/>
  <c r="O20" i="6" s="1"/>
  <c r="N20" i="6" a="1"/>
  <c r="N20" i="6" s="1"/>
  <c r="M20" i="6" a="1"/>
  <c r="M20" i="6" s="1"/>
  <c r="L20" i="6" a="1"/>
  <c r="L20" i="6" s="1"/>
  <c r="K20" i="6" a="1"/>
  <c r="K20" i="6" s="1"/>
  <c r="J20" i="6"/>
  <c r="J20" i="6" a="1"/>
  <c r="I20" i="6" a="1"/>
  <c r="I20" i="6" s="1"/>
  <c r="H20" i="6" a="1"/>
  <c r="H20" i="6" s="1"/>
  <c r="D19" i="6"/>
  <c r="D9" i="6"/>
  <c r="W8" i="6" s="1" a="1"/>
  <c r="W8" i="6" s="1"/>
  <c r="D7" i="6"/>
  <c r="I13" i="5"/>
  <c r="AD37" i="5" s="1"/>
  <c r="J13" i="5"/>
  <c r="K13" i="5"/>
  <c r="AF37" i="5" s="1"/>
  <c r="L13" i="5"/>
  <c r="AG16" i="5" s="1"/>
  <c r="M13" i="5"/>
  <c r="AH16" i="5" s="1"/>
  <c r="N13" i="5"/>
  <c r="AI16" i="5" s="1"/>
  <c r="O13" i="5"/>
  <c r="AJ37" i="5" s="1"/>
  <c r="P13" i="5"/>
  <c r="AK37" i="5" s="1"/>
  <c r="Q13" i="5"/>
  <c r="AL37" i="5" s="1"/>
  <c r="R13" i="5"/>
  <c r="AM37" i="5" s="1"/>
  <c r="S13" i="5"/>
  <c r="AN37" i="5" s="1"/>
  <c r="T13" i="5"/>
  <c r="AO37" i="5" s="1"/>
  <c r="U13" i="5"/>
  <c r="AP37" i="5" s="1"/>
  <c r="V13" i="5"/>
  <c r="AQ37" i="5" s="1"/>
  <c r="W13" i="5"/>
  <c r="AR37" i="5" s="1"/>
  <c r="H13" i="5"/>
  <c r="AC16" i="5" s="1"/>
  <c r="AD38" i="5"/>
  <c r="AE38" i="5"/>
  <c r="AF38" i="5"/>
  <c r="AG38" i="5"/>
  <c r="AH38" i="5"/>
  <c r="AI38" i="5"/>
  <c r="AJ38" i="5"/>
  <c r="AK38" i="5"/>
  <c r="AL38" i="5"/>
  <c r="AM38" i="5"/>
  <c r="AN38" i="5"/>
  <c r="AO38" i="5"/>
  <c r="AP38" i="5"/>
  <c r="AQ38" i="5"/>
  <c r="AR38" i="5"/>
  <c r="AC38" i="5"/>
  <c r="AB54" i="5"/>
  <c r="AB43" i="5"/>
  <c r="AB42" i="5"/>
  <c r="AB39" i="5" a="1"/>
  <c r="AB53" i="5" s="1"/>
  <c r="AD17" i="5"/>
  <c r="AE17" i="5"/>
  <c r="AF17" i="5"/>
  <c r="AG17" i="5"/>
  <c r="AH17" i="5"/>
  <c r="AI17" i="5"/>
  <c r="AJ17" i="5"/>
  <c r="AK17" i="5"/>
  <c r="AL17" i="5"/>
  <c r="AM17" i="5"/>
  <c r="AN17" i="5"/>
  <c r="AO17" i="5"/>
  <c r="AP17" i="5"/>
  <c r="AQ17" i="5"/>
  <c r="AR17" i="5"/>
  <c r="AC17" i="5"/>
  <c r="AB18" i="5" a="1"/>
  <c r="AB33" i="5" s="1"/>
  <c r="AB17" i="5"/>
  <c r="G39" i="5" a="1"/>
  <c r="G39" i="5" s="1"/>
  <c r="J37" i="5"/>
  <c r="K37" i="5"/>
  <c r="L37" i="5"/>
  <c r="M37" i="5"/>
  <c r="N37" i="5"/>
  <c r="O37" i="5"/>
  <c r="P37" i="5"/>
  <c r="Q37" i="5"/>
  <c r="R37" i="5"/>
  <c r="S37" i="5"/>
  <c r="T37" i="5"/>
  <c r="U37" i="5"/>
  <c r="V37" i="5"/>
  <c r="W37" i="5"/>
  <c r="X37" i="5"/>
  <c r="I37" i="5"/>
  <c r="J38" i="5"/>
  <c r="K38" i="5"/>
  <c r="L38" i="5"/>
  <c r="M38" i="5"/>
  <c r="N38" i="5"/>
  <c r="O38" i="5"/>
  <c r="P38" i="5"/>
  <c r="Q38" i="5"/>
  <c r="R38" i="5"/>
  <c r="S38" i="5"/>
  <c r="T38" i="5"/>
  <c r="U38" i="5"/>
  <c r="V38" i="5"/>
  <c r="W38" i="5"/>
  <c r="X38" i="5"/>
  <c r="I38" i="5"/>
  <c r="H44" i="5"/>
  <c r="H39" i="5" a="1"/>
  <c r="H54" i="5" s="1"/>
  <c r="G18" i="5" a="1"/>
  <c r="G18" i="5" s="1"/>
  <c r="I16" i="5" a="1"/>
  <c r="I16" i="5" s="1"/>
  <c r="AE37" i="5" l="1"/>
  <c r="H61" i="5"/>
  <c r="K76" i="8"/>
  <c r="K77" i="8" s="1"/>
  <c r="J76" i="8"/>
  <c r="J77" i="8" s="1"/>
  <c r="I76" i="8"/>
  <c r="I77" i="8" s="1"/>
  <c r="N10" i="7"/>
  <c r="M7" i="7"/>
  <c r="L7" i="7"/>
  <c r="W7" i="7"/>
  <c r="V7" i="7"/>
  <c r="I7" i="7"/>
  <c r="T7" i="7"/>
  <c r="L10" i="7"/>
  <c r="O10" i="7"/>
  <c r="U7" i="7"/>
  <c r="H10" i="7"/>
  <c r="S7" i="7"/>
  <c r="K10" i="7"/>
  <c r="H7" i="7"/>
  <c r="K7" i="7"/>
  <c r="M10" i="7"/>
  <c r="R7" i="7"/>
  <c r="J10" i="7"/>
  <c r="J7" i="7"/>
  <c r="Q7" i="7"/>
  <c r="I10" i="7"/>
  <c r="AR16" i="5"/>
  <c r="AP16" i="5"/>
  <c r="AO16" i="5"/>
  <c r="AF16" i="5"/>
  <c r="AG37" i="5"/>
  <c r="G50" i="5"/>
  <c r="G49" i="5"/>
  <c r="L8" i="6" a="1"/>
  <c r="L8" i="6" s="1"/>
  <c r="M8" i="6" a="1"/>
  <c r="M8" i="6" s="1"/>
  <c r="N8" i="6" a="1"/>
  <c r="N8" i="6" s="1"/>
  <c r="Q8" i="6" a="1"/>
  <c r="Q8" i="6" s="1"/>
  <c r="O8" i="6" a="1"/>
  <c r="O8" i="6" s="1"/>
  <c r="P8" i="6" a="1"/>
  <c r="P8" i="6" s="1"/>
  <c r="R8" i="6" a="1"/>
  <c r="R8" i="6" s="1"/>
  <c r="H8" i="6" a="1"/>
  <c r="H8" i="6" s="1"/>
  <c r="T8" i="6" a="1"/>
  <c r="T8" i="6" s="1"/>
  <c r="I8" i="6" a="1"/>
  <c r="I8" i="6" s="1"/>
  <c r="U8" i="6" a="1"/>
  <c r="U8" i="6" s="1"/>
  <c r="J8" i="6" a="1"/>
  <c r="J8" i="6" s="1"/>
  <c r="V8" i="6" a="1"/>
  <c r="V8" i="6" s="1"/>
  <c r="S8" i="6" a="1"/>
  <c r="S8" i="6" s="1"/>
  <c r="K8" i="6" a="1"/>
  <c r="K8" i="6" s="1"/>
  <c r="AN16" i="5"/>
  <c r="AD16" i="5"/>
  <c r="AC37" i="5"/>
  <c r="AQ16" i="5"/>
  <c r="AE16" i="5"/>
  <c r="AI37" i="5"/>
  <c r="AH37" i="5"/>
  <c r="AM16" i="5"/>
  <c r="AL16" i="5"/>
  <c r="AK16" i="5"/>
  <c r="AA39" i="5" a="1"/>
  <c r="AA43" i="5" s="1"/>
  <c r="AJ16" i="5"/>
  <c r="AA18" i="5" a="1"/>
  <c r="AA26" i="5" s="1"/>
  <c r="AB45" i="5"/>
  <c r="AB46" i="5"/>
  <c r="AB47" i="5"/>
  <c r="AB48" i="5"/>
  <c r="AB50" i="5"/>
  <c r="AB49" i="5"/>
  <c r="AB39" i="5"/>
  <c r="AB51" i="5"/>
  <c r="AB44" i="5"/>
  <c r="AB40" i="5"/>
  <c r="AB52" i="5"/>
  <c r="AB41" i="5"/>
  <c r="AB28" i="5"/>
  <c r="AB24" i="5"/>
  <c r="AB23" i="5"/>
  <c r="AB25" i="5"/>
  <c r="AB22" i="5"/>
  <c r="AB26" i="5"/>
  <c r="AB27" i="5"/>
  <c r="AB19" i="5"/>
  <c r="AB31" i="5"/>
  <c r="AB18" i="5"/>
  <c r="AB20" i="5"/>
  <c r="AB32" i="5"/>
  <c r="AB29" i="5"/>
  <c r="AB30" i="5"/>
  <c r="AB21" i="5"/>
  <c r="G41" i="5"/>
  <c r="G40" i="5"/>
  <c r="G48" i="5"/>
  <c r="G47" i="5"/>
  <c r="G46" i="5"/>
  <c r="G45" i="5"/>
  <c r="G44" i="5"/>
  <c r="G43" i="5"/>
  <c r="G54" i="5"/>
  <c r="G42" i="5"/>
  <c r="G53" i="5"/>
  <c r="G52" i="5"/>
  <c r="G51" i="5"/>
  <c r="H43" i="5"/>
  <c r="H46" i="5"/>
  <c r="H49" i="5"/>
  <c r="H45" i="5"/>
  <c r="H47" i="5"/>
  <c r="H48" i="5"/>
  <c r="H39" i="5"/>
  <c r="H50" i="5"/>
  <c r="H51" i="5"/>
  <c r="H40" i="5"/>
  <c r="H52" i="5"/>
  <c r="H41" i="5"/>
  <c r="H53" i="5"/>
  <c r="H42" i="5"/>
  <c r="G19" i="5"/>
  <c r="I19" i="5" s="1"/>
  <c r="I40" i="5" s="1"/>
  <c r="G29" i="5"/>
  <c r="G28" i="5"/>
  <c r="G27" i="5"/>
  <c r="H38" i="5" s="1"/>
  <c r="G26" i="5"/>
  <c r="G25" i="5"/>
  <c r="G24" i="5"/>
  <c r="G23" i="5"/>
  <c r="G22" i="5"/>
  <c r="G33" i="5"/>
  <c r="G21" i="5"/>
  <c r="G32" i="5"/>
  <c r="G20" i="5"/>
  <c r="G31" i="5"/>
  <c r="G30" i="5"/>
  <c r="G80" i="8" l="1"/>
  <c r="G79" i="8"/>
  <c r="AA44" i="5"/>
  <c r="AA45" i="5"/>
  <c r="AA47" i="5"/>
  <c r="AA40" i="5"/>
  <c r="AA52" i="5"/>
  <c r="AA53" i="5"/>
  <c r="AA48" i="5"/>
  <c r="AA54" i="5"/>
  <c r="AC26" i="5"/>
  <c r="AC47" i="5" s="1"/>
  <c r="AD26" i="5"/>
  <c r="AD47" i="5" s="1"/>
  <c r="AE26" i="5"/>
  <c r="AE47" i="5" s="1"/>
  <c r="AF26" i="5"/>
  <c r="AF47" i="5" s="1"/>
  <c r="AG26" i="5"/>
  <c r="AG47" i="5" s="1"/>
  <c r="AH26" i="5"/>
  <c r="AH47" i="5" s="1"/>
  <c r="AI26" i="5"/>
  <c r="AI47" i="5" s="1"/>
  <c r="AJ26" i="5"/>
  <c r="AJ47" i="5" s="1"/>
  <c r="AA51" i="5"/>
  <c r="AA42" i="5"/>
  <c r="AA39" i="5"/>
  <c r="AA49" i="5"/>
  <c r="AA50" i="5"/>
  <c r="AA41" i="5"/>
  <c r="AA46" i="5"/>
  <c r="AA22" i="5"/>
  <c r="AA21" i="5"/>
  <c r="AA33" i="5"/>
  <c r="AA25" i="5"/>
  <c r="AA23" i="5"/>
  <c r="AA31" i="5"/>
  <c r="AA30" i="5"/>
  <c r="AA24" i="5"/>
  <c r="AA20" i="5"/>
  <c r="AA19" i="5"/>
  <c r="AC19" i="5" s="1"/>
  <c r="AC40" i="5" s="1"/>
  <c r="AA32" i="5"/>
  <c r="AA18" i="5"/>
  <c r="AA28" i="5"/>
  <c r="AA27" i="5"/>
  <c r="AA29" i="5"/>
  <c r="S32" i="5"/>
  <c r="S53" i="5" s="1"/>
  <c r="Q32" i="5"/>
  <c r="Q53" i="5" s="1"/>
  <c r="U32" i="5"/>
  <c r="U53" i="5" s="1"/>
  <c r="M32" i="5"/>
  <c r="M53" i="5" s="1"/>
  <c r="L32" i="5"/>
  <c r="L53" i="5" s="1"/>
  <c r="N32" i="5"/>
  <c r="N53" i="5" s="1"/>
  <c r="K32" i="5"/>
  <c r="K53" i="5" s="1"/>
  <c r="R32" i="5"/>
  <c r="R53" i="5" s="1"/>
  <c r="O32" i="5"/>
  <c r="O53" i="5" s="1"/>
  <c r="J32" i="5"/>
  <c r="J53" i="5" s="1"/>
  <c r="I32" i="5"/>
  <c r="I53" i="5" s="1"/>
  <c r="T32" i="5"/>
  <c r="T53" i="5" s="1"/>
  <c r="P32" i="5"/>
  <c r="P53" i="5" s="1"/>
  <c r="V32" i="5"/>
  <c r="V53" i="5" s="1"/>
  <c r="W33" i="5"/>
  <c r="W54" i="5" s="1"/>
  <c r="V33" i="5"/>
  <c r="V54" i="5" s="1"/>
  <c r="S33" i="5"/>
  <c r="S54" i="5" s="1"/>
  <c r="I33" i="5"/>
  <c r="I54" i="5" s="1"/>
  <c r="U33" i="5"/>
  <c r="U54" i="5" s="1"/>
  <c r="M33" i="5"/>
  <c r="M54" i="5" s="1"/>
  <c r="L33" i="5"/>
  <c r="L54" i="5" s="1"/>
  <c r="P33" i="5"/>
  <c r="P54" i="5" s="1"/>
  <c r="Q33" i="5"/>
  <c r="Q54" i="5" s="1"/>
  <c r="N33" i="5"/>
  <c r="N54" i="5" s="1"/>
  <c r="K33" i="5"/>
  <c r="K54" i="5" s="1"/>
  <c r="R33" i="5"/>
  <c r="R54" i="5" s="1"/>
  <c r="O33" i="5"/>
  <c r="O54" i="5" s="1"/>
  <c r="J33" i="5"/>
  <c r="J54" i="5" s="1"/>
  <c r="T33" i="5"/>
  <c r="T54" i="5" s="1"/>
  <c r="I23" i="5"/>
  <c r="I44" i="5" s="1"/>
  <c r="M23" i="5"/>
  <c r="M44" i="5" s="1"/>
  <c r="L23" i="5"/>
  <c r="L44" i="5" s="1"/>
  <c r="K23" i="5"/>
  <c r="K44" i="5" s="1"/>
  <c r="J23" i="5"/>
  <c r="J44" i="5" s="1"/>
  <c r="M30" i="5"/>
  <c r="M51" i="5" s="1"/>
  <c r="L30" i="5"/>
  <c r="L51" i="5" s="1"/>
  <c r="Q30" i="5"/>
  <c r="Q51" i="5" s="1"/>
  <c r="R30" i="5"/>
  <c r="R51" i="5" s="1"/>
  <c r="O30" i="5"/>
  <c r="O51" i="5" s="1"/>
  <c r="J30" i="5"/>
  <c r="J51" i="5" s="1"/>
  <c r="T30" i="5"/>
  <c r="T51" i="5" s="1"/>
  <c r="N30" i="5"/>
  <c r="N51" i="5" s="1"/>
  <c r="I30" i="5"/>
  <c r="I51" i="5" s="1"/>
  <c r="K30" i="5"/>
  <c r="K51" i="5" s="1"/>
  <c r="P30" i="5"/>
  <c r="P51" i="5" s="1"/>
  <c r="S30" i="5"/>
  <c r="S51" i="5" s="1"/>
  <c r="Q31" i="5"/>
  <c r="Q52" i="5" s="1"/>
  <c r="N31" i="5"/>
  <c r="N52" i="5" s="1"/>
  <c r="K31" i="5"/>
  <c r="K52" i="5" s="1"/>
  <c r="T31" i="5"/>
  <c r="T52" i="5" s="1"/>
  <c r="L31" i="5"/>
  <c r="L52" i="5" s="1"/>
  <c r="S31" i="5"/>
  <c r="S52" i="5" s="1"/>
  <c r="U31" i="5"/>
  <c r="U52" i="5" s="1"/>
  <c r="R31" i="5"/>
  <c r="R52" i="5" s="1"/>
  <c r="O31" i="5"/>
  <c r="O52" i="5" s="1"/>
  <c r="J31" i="5"/>
  <c r="J52" i="5" s="1"/>
  <c r="I31" i="5"/>
  <c r="I52" i="5" s="1"/>
  <c r="P31" i="5"/>
  <c r="P52" i="5" s="1"/>
  <c r="M31" i="5"/>
  <c r="M52" i="5" s="1"/>
  <c r="M29" i="5"/>
  <c r="M50" i="5" s="1"/>
  <c r="L29" i="5"/>
  <c r="L50" i="5" s="1"/>
  <c r="N29" i="5"/>
  <c r="N50" i="5" s="1"/>
  <c r="K29" i="5"/>
  <c r="K50" i="5" s="1"/>
  <c r="R29" i="5"/>
  <c r="R50" i="5" s="1"/>
  <c r="O29" i="5"/>
  <c r="O50" i="5" s="1"/>
  <c r="J29" i="5"/>
  <c r="J50" i="5" s="1"/>
  <c r="P29" i="5"/>
  <c r="P50" i="5" s="1"/>
  <c r="S29" i="5"/>
  <c r="S50" i="5" s="1"/>
  <c r="I29" i="5"/>
  <c r="I50" i="5" s="1"/>
  <c r="Q29" i="5"/>
  <c r="Q50" i="5" s="1"/>
  <c r="K21" i="5"/>
  <c r="K42" i="5" s="1"/>
  <c r="J21" i="5"/>
  <c r="J42" i="5" s="1"/>
  <c r="I21" i="5"/>
  <c r="I42" i="5" s="1"/>
  <c r="I22" i="5"/>
  <c r="I43" i="5" s="1"/>
  <c r="K22" i="5"/>
  <c r="K43" i="5" s="1"/>
  <c r="L22" i="5"/>
  <c r="L43" i="5" s="1"/>
  <c r="J22" i="5"/>
  <c r="J43" i="5" s="1"/>
  <c r="N24" i="5"/>
  <c r="N45" i="5" s="1"/>
  <c r="K24" i="5"/>
  <c r="K45" i="5" s="1"/>
  <c r="M24" i="5"/>
  <c r="M45" i="5" s="1"/>
  <c r="L24" i="5"/>
  <c r="L45" i="5" s="1"/>
  <c r="J24" i="5"/>
  <c r="J45" i="5" s="1"/>
  <c r="I24" i="5"/>
  <c r="I45" i="5" s="1"/>
  <c r="I25" i="5"/>
  <c r="I46" i="5" s="1"/>
  <c r="L25" i="5"/>
  <c r="L46" i="5" s="1"/>
  <c r="N25" i="5"/>
  <c r="N46" i="5" s="1"/>
  <c r="K25" i="5"/>
  <c r="K46" i="5" s="1"/>
  <c r="M25" i="5"/>
  <c r="M46" i="5" s="1"/>
  <c r="J25" i="5"/>
  <c r="J46" i="5" s="1"/>
  <c r="O25" i="5"/>
  <c r="O46" i="5" s="1"/>
  <c r="O26" i="5"/>
  <c r="O47" i="5" s="1"/>
  <c r="J26" i="5"/>
  <c r="J47" i="5" s="1"/>
  <c r="I26" i="5"/>
  <c r="I47" i="5" s="1"/>
  <c r="L26" i="5"/>
  <c r="L47" i="5" s="1"/>
  <c r="K26" i="5"/>
  <c r="K47" i="5" s="1"/>
  <c r="M26" i="5"/>
  <c r="M47" i="5" s="1"/>
  <c r="N26" i="5"/>
  <c r="N47" i="5" s="1"/>
  <c r="P26" i="5"/>
  <c r="P47" i="5" s="1"/>
  <c r="O27" i="5"/>
  <c r="O48" i="5" s="1"/>
  <c r="J27" i="5"/>
  <c r="J48" i="5" s="1"/>
  <c r="Q27" i="5"/>
  <c r="Q48" i="5" s="1"/>
  <c r="L27" i="5"/>
  <c r="L48" i="5" s="1"/>
  <c r="P27" i="5"/>
  <c r="P48" i="5" s="1"/>
  <c r="I27" i="5"/>
  <c r="I48" i="5" s="1"/>
  <c r="K27" i="5"/>
  <c r="K48" i="5" s="1"/>
  <c r="N27" i="5"/>
  <c r="N48" i="5" s="1"/>
  <c r="M27" i="5"/>
  <c r="M48" i="5" s="1"/>
  <c r="N28" i="5"/>
  <c r="N49" i="5" s="1"/>
  <c r="K28" i="5"/>
  <c r="K49" i="5" s="1"/>
  <c r="I28" i="5"/>
  <c r="I49" i="5" s="1"/>
  <c r="O28" i="5"/>
  <c r="O49" i="5" s="1"/>
  <c r="J28" i="5"/>
  <c r="J49" i="5" s="1"/>
  <c r="P28" i="5"/>
  <c r="P49" i="5" s="1"/>
  <c r="Q28" i="5"/>
  <c r="Q49" i="5" s="1"/>
  <c r="M28" i="5"/>
  <c r="M49" i="5" s="1"/>
  <c r="R28" i="5"/>
  <c r="R49" i="5" s="1"/>
  <c r="L28" i="5"/>
  <c r="L49" i="5" s="1"/>
  <c r="J20" i="5"/>
  <c r="J41" i="5" s="1"/>
  <c r="H62" i="5" s="1"/>
  <c r="I20" i="5"/>
  <c r="I41" i="5" s="1"/>
  <c r="O13" i="1"/>
  <c r="H17" i="5"/>
  <c r="D9" i="5"/>
  <c r="I8" i="5" s="1" a="1"/>
  <c r="I8" i="5" s="1"/>
  <c r="D10" i="4"/>
  <c r="G8" i="4"/>
  <c r="D9" i="4"/>
  <c r="N56" i="3"/>
  <c r="O56" i="3"/>
  <c r="P56" i="3"/>
  <c r="Q56" i="3"/>
  <c r="R56" i="3"/>
  <c r="S56" i="3"/>
  <c r="T56" i="3"/>
  <c r="U56" i="3"/>
  <c r="V56" i="3"/>
  <c r="W56" i="3"/>
  <c r="I54" i="3"/>
  <c r="I56" i="3" s="1"/>
  <c r="J54" i="3"/>
  <c r="J56" i="3" s="1"/>
  <c r="K54" i="3"/>
  <c r="K56" i="3" s="1"/>
  <c r="L54" i="3"/>
  <c r="L56" i="3" s="1"/>
  <c r="M54" i="3"/>
  <c r="M56" i="3" s="1"/>
  <c r="N54" i="3"/>
  <c r="O54" i="3"/>
  <c r="P54" i="3"/>
  <c r="Q54" i="3"/>
  <c r="R54" i="3"/>
  <c r="S54" i="3"/>
  <c r="T54" i="3"/>
  <c r="U54" i="3"/>
  <c r="V54" i="3"/>
  <c r="W54" i="3"/>
  <c r="H54" i="3"/>
  <c r="H56" i="3" s="1"/>
  <c r="D51" i="3"/>
  <c r="I51" i="3" s="1"/>
  <c r="O7" i="1"/>
  <c r="V43" i="3"/>
  <c r="T43" i="3"/>
  <c r="R43" i="3"/>
  <c r="P43" i="3"/>
  <c r="N43" i="3"/>
  <c r="L43" i="3"/>
  <c r="J43" i="3"/>
  <c r="H43" i="3"/>
  <c r="W43" i="3"/>
  <c r="U43" i="3"/>
  <c r="S43" i="3"/>
  <c r="Q43" i="3"/>
  <c r="O43" i="3"/>
  <c r="M43" i="3"/>
  <c r="K43" i="3"/>
  <c r="I43" i="3"/>
  <c r="L41" i="3"/>
  <c r="N41" i="3"/>
  <c r="P41" i="3"/>
  <c r="D43" i="3"/>
  <c r="I41" i="3" s="1"/>
  <c r="D42" i="3"/>
  <c r="K34" i="3"/>
  <c r="N34" i="3"/>
  <c r="O34" i="3"/>
  <c r="P34" i="3"/>
  <c r="Q34" i="3"/>
  <c r="R34" i="3"/>
  <c r="S34" i="3"/>
  <c r="T34" i="3"/>
  <c r="U34" i="3"/>
  <c r="V34" i="3"/>
  <c r="W34" i="3"/>
  <c r="D31" i="3"/>
  <c r="O31" i="3" s="1"/>
  <c r="O14" i="1"/>
  <c r="O15" i="1"/>
  <c r="I22" i="2"/>
  <c r="J22" i="2"/>
  <c r="K22" i="2"/>
  <c r="L22" i="2"/>
  <c r="M22" i="2"/>
  <c r="N22" i="2"/>
  <c r="O22" i="2"/>
  <c r="P22" i="2"/>
  <c r="Q22" i="2"/>
  <c r="R22" i="2"/>
  <c r="S22" i="2"/>
  <c r="T22" i="2"/>
  <c r="U22" i="2"/>
  <c r="V22" i="2"/>
  <c r="W22" i="2"/>
  <c r="N21" i="2"/>
  <c r="O21" i="2"/>
  <c r="P21" i="2"/>
  <c r="Q21" i="2"/>
  <c r="R21" i="2"/>
  <c r="S21" i="2"/>
  <c r="T21" i="2"/>
  <c r="U21" i="2"/>
  <c r="V21" i="2"/>
  <c r="W21" i="2"/>
  <c r="H22" i="2"/>
  <c r="I53" i="2"/>
  <c r="J53" i="2"/>
  <c r="K53" i="2"/>
  <c r="L53" i="2"/>
  <c r="M53" i="2"/>
  <c r="N53" i="2"/>
  <c r="O53" i="2"/>
  <c r="P53" i="2"/>
  <c r="Q53" i="2"/>
  <c r="R53" i="2"/>
  <c r="S53" i="2"/>
  <c r="T53" i="2"/>
  <c r="U53" i="2"/>
  <c r="V53" i="2"/>
  <c r="W53" i="2"/>
  <c r="H53" i="2"/>
  <c r="P52" i="2"/>
  <c r="Q52" i="2"/>
  <c r="R52" i="2"/>
  <c r="S52" i="2"/>
  <c r="S54" i="2" s="1"/>
  <c r="S55" i="2" s="1"/>
  <c r="T52" i="2"/>
  <c r="T54" i="2" s="1"/>
  <c r="T55" i="2" s="1"/>
  <c r="U52" i="2"/>
  <c r="V52" i="2"/>
  <c r="W52" i="2"/>
  <c r="D50" i="2"/>
  <c r="I50" i="2" s="1"/>
  <c r="E35" i="2"/>
  <c r="O4" i="1"/>
  <c r="D39" i="2"/>
  <c r="I39" i="2" s="1"/>
  <c r="O5" i="1"/>
  <c r="M23" i="3"/>
  <c r="N23" i="3"/>
  <c r="O23" i="3"/>
  <c r="P23" i="3"/>
  <c r="Q23" i="3"/>
  <c r="R23" i="3"/>
  <c r="S23" i="3"/>
  <c r="T23" i="3"/>
  <c r="U23" i="3"/>
  <c r="V23" i="3"/>
  <c r="W23" i="3"/>
  <c r="D19" i="3"/>
  <c r="U54" i="2" l="1"/>
  <c r="U55" i="2" s="1"/>
  <c r="R54" i="2"/>
  <c r="R55" i="2" s="1"/>
  <c r="O52" i="2"/>
  <c r="N52" i="2"/>
  <c r="O54" i="2"/>
  <c r="O55" i="2" s="1"/>
  <c r="M52" i="2"/>
  <c r="M54" i="2" s="1"/>
  <c r="M55" i="2" s="1"/>
  <c r="L52" i="2"/>
  <c r="K52" i="2"/>
  <c r="K54" i="2" s="1"/>
  <c r="K55" i="2" s="1"/>
  <c r="AD22" i="5"/>
  <c r="AD43" i="5" s="1"/>
  <c r="AE22" i="5"/>
  <c r="AE43" i="5" s="1"/>
  <c r="AF22" i="5"/>
  <c r="AF43" i="5" s="1"/>
  <c r="AC22" i="5"/>
  <c r="AC43" i="5" s="1"/>
  <c r="AD30" i="5"/>
  <c r="AD51" i="5" s="1"/>
  <c r="AG30" i="5"/>
  <c r="AG51" i="5" s="1"/>
  <c r="AE30" i="5"/>
  <c r="AE51" i="5" s="1"/>
  <c r="AF30" i="5"/>
  <c r="AF51" i="5" s="1"/>
  <c r="AH30" i="5"/>
  <c r="AH51" i="5" s="1"/>
  <c r="AC30" i="5"/>
  <c r="AC51" i="5" s="1"/>
  <c r="AJ30" i="5"/>
  <c r="AJ51" i="5" s="1"/>
  <c r="AI30" i="5"/>
  <c r="AI51" i="5" s="1"/>
  <c r="AK30" i="5"/>
  <c r="AK51" i="5" s="1"/>
  <c r="AL30" i="5"/>
  <c r="AL51" i="5" s="1"/>
  <c r="AM30" i="5"/>
  <c r="AM51" i="5" s="1"/>
  <c r="AN30" i="5"/>
  <c r="AN51" i="5" s="1"/>
  <c r="AO31" i="5"/>
  <c r="AO52" i="5" s="1"/>
  <c r="AD31" i="5"/>
  <c r="AD52" i="5" s="1"/>
  <c r="AE31" i="5"/>
  <c r="AE52" i="5" s="1"/>
  <c r="AF31" i="5"/>
  <c r="AF52" i="5" s="1"/>
  <c r="AG31" i="5"/>
  <c r="AG52" i="5" s="1"/>
  <c r="AH31" i="5"/>
  <c r="AH52" i="5" s="1"/>
  <c r="AI31" i="5"/>
  <c r="AI52" i="5" s="1"/>
  <c r="AC31" i="5"/>
  <c r="AC52" i="5" s="1"/>
  <c r="AJ31" i="5"/>
  <c r="AJ52" i="5" s="1"/>
  <c r="AK31" i="5"/>
  <c r="AK52" i="5" s="1"/>
  <c r="AL31" i="5"/>
  <c r="AL52" i="5" s="1"/>
  <c r="AM31" i="5"/>
  <c r="AM52" i="5" s="1"/>
  <c r="AN31" i="5"/>
  <c r="AN52" i="5" s="1"/>
  <c r="AD29" i="5"/>
  <c r="AD50" i="5" s="1"/>
  <c r="AE29" i="5"/>
  <c r="AE50" i="5" s="1"/>
  <c r="AH29" i="5"/>
  <c r="AH50" i="5" s="1"/>
  <c r="AF29" i="5"/>
  <c r="AF50" i="5" s="1"/>
  <c r="AC29" i="5"/>
  <c r="AC50" i="5" s="1"/>
  <c r="AG29" i="5"/>
  <c r="AG50" i="5" s="1"/>
  <c r="AI29" i="5"/>
  <c r="AI50" i="5" s="1"/>
  <c r="AJ29" i="5"/>
  <c r="AJ50" i="5" s="1"/>
  <c r="AK29" i="5"/>
  <c r="AK50" i="5" s="1"/>
  <c r="AL29" i="5"/>
  <c r="AL50" i="5" s="1"/>
  <c r="AM29" i="5"/>
  <c r="AM50" i="5" s="1"/>
  <c r="AG23" i="5"/>
  <c r="AG44" i="5" s="1"/>
  <c r="AD23" i="5"/>
  <c r="AD44" i="5" s="1"/>
  <c r="AE23" i="5"/>
  <c r="AE44" i="5" s="1"/>
  <c r="AC23" i="5"/>
  <c r="AC44" i="5" s="1"/>
  <c r="AF23" i="5"/>
  <c r="AF44" i="5" s="1"/>
  <c r="AF25" i="5"/>
  <c r="AF46" i="5" s="1"/>
  <c r="AC25" i="5"/>
  <c r="AC46" i="5" s="1"/>
  <c r="AG25" i="5"/>
  <c r="AG46" i="5" s="1"/>
  <c r="AH25" i="5"/>
  <c r="AH46" i="5" s="1"/>
  <c r="AI25" i="5"/>
  <c r="AI46" i="5" s="1"/>
  <c r="AD25" i="5"/>
  <c r="AD46" i="5" s="1"/>
  <c r="AE25" i="5"/>
  <c r="AE46" i="5" s="1"/>
  <c r="AF28" i="5"/>
  <c r="AF49" i="5" s="1"/>
  <c r="AG28" i="5"/>
  <c r="AG49" i="5" s="1"/>
  <c r="AH28" i="5"/>
  <c r="AH49" i="5" s="1"/>
  <c r="AJ28" i="5"/>
  <c r="AJ49" i="5" s="1"/>
  <c r="AI28" i="5"/>
  <c r="AI49" i="5" s="1"/>
  <c r="AC28" i="5"/>
  <c r="AC49" i="5" s="1"/>
  <c r="AK28" i="5"/>
  <c r="AK49" i="5" s="1"/>
  <c r="AL28" i="5"/>
  <c r="AL49" i="5" s="1"/>
  <c r="AD28" i="5"/>
  <c r="AD49" i="5" s="1"/>
  <c r="AE28" i="5"/>
  <c r="AE49" i="5" s="1"/>
  <c r="AD32" i="5"/>
  <c r="AD53" i="5" s="1"/>
  <c r="AP32" i="5"/>
  <c r="AP53" i="5" s="1"/>
  <c r="AE32" i="5"/>
  <c r="AE53" i="5" s="1"/>
  <c r="AF32" i="5"/>
  <c r="AF53" i="5" s="1"/>
  <c r="AH32" i="5"/>
  <c r="AH53" i="5" s="1"/>
  <c r="AG32" i="5"/>
  <c r="AG53" i="5" s="1"/>
  <c r="AI32" i="5"/>
  <c r="AI53" i="5" s="1"/>
  <c r="AK32" i="5"/>
  <c r="AK53" i="5" s="1"/>
  <c r="AC32" i="5"/>
  <c r="AC53" i="5" s="1"/>
  <c r="AJ32" i="5"/>
  <c r="AJ53" i="5" s="1"/>
  <c r="AL32" i="5"/>
  <c r="AL53" i="5" s="1"/>
  <c r="AM32" i="5"/>
  <c r="AM53" i="5" s="1"/>
  <c r="AN32" i="5"/>
  <c r="AN53" i="5" s="1"/>
  <c r="AO32" i="5"/>
  <c r="AO53" i="5" s="1"/>
  <c r="AF33" i="5"/>
  <c r="AF54" i="5" s="1"/>
  <c r="AG33" i="5"/>
  <c r="AG54" i="5" s="1"/>
  <c r="AJ33" i="5"/>
  <c r="AJ54" i="5" s="1"/>
  <c r="AH33" i="5"/>
  <c r="AH54" i="5" s="1"/>
  <c r="AI33" i="5"/>
  <c r="AI54" i="5" s="1"/>
  <c r="AC33" i="5"/>
  <c r="AC54" i="5" s="1"/>
  <c r="AK33" i="5"/>
  <c r="AK54" i="5" s="1"/>
  <c r="AL33" i="5"/>
  <c r="AL54" i="5" s="1"/>
  <c r="AM33" i="5"/>
  <c r="AM54" i="5" s="1"/>
  <c r="AN33" i="5"/>
  <c r="AN54" i="5" s="1"/>
  <c r="AO33" i="5"/>
  <c r="AO54" i="5" s="1"/>
  <c r="AD33" i="5"/>
  <c r="AD54" i="5" s="1"/>
  <c r="AP33" i="5"/>
  <c r="AP54" i="5" s="1"/>
  <c r="AE33" i="5"/>
  <c r="AE54" i="5" s="1"/>
  <c r="AQ33" i="5"/>
  <c r="AQ54" i="5" s="1"/>
  <c r="AD24" i="5"/>
  <c r="AD45" i="5" s="1"/>
  <c r="AE24" i="5"/>
  <c r="AE45" i="5" s="1"/>
  <c r="AG24" i="5"/>
  <c r="AG45" i="5" s="1"/>
  <c r="AF24" i="5"/>
  <c r="AF45" i="5" s="1"/>
  <c r="AH24" i="5"/>
  <c r="AH45" i="5" s="1"/>
  <c r="AC24" i="5"/>
  <c r="AC45" i="5" s="1"/>
  <c r="AB38" i="5"/>
  <c r="AI27" i="5"/>
  <c r="AI48" i="5" s="1"/>
  <c r="AJ27" i="5"/>
  <c r="AJ48" i="5" s="1"/>
  <c r="AK27" i="5"/>
  <c r="AK48" i="5" s="1"/>
  <c r="AC27" i="5"/>
  <c r="AC48" i="5" s="1"/>
  <c r="AD27" i="5"/>
  <c r="AD48" i="5" s="1"/>
  <c r="AE27" i="5"/>
  <c r="AE48" i="5" s="1"/>
  <c r="AF27" i="5"/>
  <c r="AF48" i="5" s="1"/>
  <c r="AG27" i="5"/>
  <c r="AG48" i="5" s="1"/>
  <c r="AH27" i="5"/>
  <c r="AH48" i="5" s="1"/>
  <c r="AD20" i="5"/>
  <c r="AD41" i="5" s="1"/>
  <c r="H63" i="5" s="1"/>
  <c r="H68" i="5" s="1"/>
  <c r="AC20" i="5"/>
  <c r="AC41" i="5" s="1"/>
  <c r="AD21" i="5"/>
  <c r="AD42" i="5" s="1"/>
  <c r="AE21" i="5"/>
  <c r="AE42" i="5" s="1"/>
  <c r="AC21" i="5"/>
  <c r="AC42" i="5" s="1"/>
  <c r="J17" i="5"/>
  <c r="P8" i="5" a="1"/>
  <c r="P8" i="5" s="1"/>
  <c r="Q8" i="5" a="1"/>
  <c r="Q8" i="5" s="1"/>
  <c r="N8" i="5" a="1"/>
  <c r="N8" i="5" s="1"/>
  <c r="M8" i="5" a="1"/>
  <c r="M8" i="5" s="1"/>
  <c r="W8" i="5" a="1"/>
  <c r="W8" i="5" s="1"/>
  <c r="L8" i="5" a="1"/>
  <c r="L8" i="5" s="1"/>
  <c r="O8" i="5" a="1"/>
  <c r="O8" i="5" s="1"/>
  <c r="S8" i="5" a="1"/>
  <c r="S8" i="5" s="1"/>
  <c r="K8" i="5" a="1"/>
  <c r="K8" i="5" s="1"/>
  <c r="H8" i="5" a="1"/>
  <c r="H8" i="5" s="1"/>
  <c r="U8" i="5" a="1"/>
  <c r="U8" i="5" s="1"/>
  <c r="J8" i="5" a="1"/>
  <c r="J8" i="5" s="1"/>
  <c r="V8" i="5" a="1"/>
  <c r="V8" i="5" s="1"/>
  <c r="T8" i="5" a="1"/>
  <c r="T8" i="5" s="1"/>
  <c r="R8" i="5" a="1"/>
  <c r="R8" i="5" s="1"/>
  <c r="H41" i="3"/>
  <c r="T41" i="3"/>
  <c r="S41" i="3"/>
  <c r="T51" i="3"/>
  <c r="R41" i="3"/>
  <c r="P51" i="3"/>
  <c r="Q41" i="3"/>
  <c r="O51" i="3"/>
  <c r="O41" i="3"/>
  <c r="M41" i="3"/>
  <c r="V51" i="3"/>
  <c r="W41" i="3"/>
  <c r="K41" i="3"/>
  <c r="S51" i="3"/>
  <c r="M34" i="3"/>
  <c r="V41" i="3"/>
  <c r="J41" i="3"/>
  <c r="R51" i="3"/>
  <c r="L34" i="3"/>
  <c r="U41" i="3"/>
  <c r="Q51" i="3"/>
  <c r="N51" i="3"/>
  <c r="M51" i="3"/>
  <c r="H51" i="3"/>
  <c r="L51" i="3"/>
  <c r="W51" i="3"/>
  <c r="K51" i="3"/>
  <c r="J51" i="3"/>
  <c r="U51" i="3"/>
  <c r="M31" i="3"/>
  <c r="V31" i="3"/>
  <c r="I31" i="3"/>
  <c r="T31" i="3"/>
  <c r="H34" i="3"/>
  <c r="N31" i="3"/>
  <c r="J31" i="3"/>
  <c r="S31" i="3"/>
  <c r="H31" i="3"/>
  <c r="R31" i="3"/>
  <c r="J34" i="3"/>
  <c r="L31" i="3"/>
  <c r="Q31" i="3"/>
  <c r="I34" i="3"/>
  <c r="K31" i="3"/>
  <c r="P31" i="3"/>
  <c r="W31" i="3"/>
  <c r="U31" i="3"/>
  <c r="Q54" i="2"/>
  <c r="Q55" i="2" s="1"/>
  <c r="P54" i="2"/>
  <c r="P55" i="2" s="1"/>
  <c r="L54" i="2"/>
  <c r="L55" i="2" s="1"/>
  <c r="V54" i="2"/>
  <c r="V55" i="2" s="1"/>
  <c r="J52" i="2"/>
  <c r="J54" i="2" s="1"/>
  <c r="J55" i="2" s="1"/>
  <c r="I52" i="2"/>
  <c r="I54" i="2" s="1"/>
  <c r="I55" i="2" s="1"/>
  <c r="H52" i="2"/>
  <c r="H54" i="2" s="1"/>
  <c r="H55" i="2" s="1"/>
  <c r="N54" i="2"/>
  <c r="N55" i="2" s="1"/>
  <c r="W54" i="2"/>
  <c r="W55" i="2" s="1"/>
  <c r="S50" i="2"/>
  <c r="R50" i="2"/>
  <c r="T50" i="2"/>
  <c r="Q50" i="2"/>
  <c r="O50" i="2"/>
  <c r="M50" i="2"/>
  <c r="H50" i="2"/>
  <c r="L50" i="2"/>
  <c r="W50" i="2"/>
  <c r="K50" i="2"/>
  <c r="P50" i="2"/>
  <c r="V50" i="2"/>
  <c r="J50" i="2"/>
  <c r="N50" i="2"/>
  <c r="U50" i="2"/>
  <c r="I42" i="2" a="1"/>
  <c r="I42" i="2" s="1"/>
  <c r="T39" i="2"/>
  <c r="R39" i="2"/>
  <c r="P39" i="2"/>
  <c r="M39" i="2"/>
  <c r="H39" i="2"/>
  <c r="L39" i="2"/>
  <c r="N39" i="2"/>
  <c r="W39" i="2"/>
  <c r="K39" i="2"/>
  <c r="V39" i="2"/>
  <c r="J39" i="2"/>
  <c r="S39" i="2"/>
  <c r="Q39" i="2"/>
  <c r="O39" i="2"/>
  <c r="U39" i="2"/>
  <c r="D8" i="3"/>
  <c r="J8" i="3" s="1"/>
  <c r="O12" i="1"/>
  <c r="K29" i="2"/>
  <c r="K28" i="2"/>
  <c r="K26" i="2"/>
  <c r="K27" i="2"/>
  <c r="D22" i="2"/>
  <c r="M21" i="2" s="1"/>
  <c r="H10" i="2"/>
  <c r="D12" i="2"/>
  <c r="H8" i="2" s="1"/>
  <c r="H57" i="2" l="1"/>
  <c r="X17" i="5"/>
  <c r="T17" i="5"/>
  <c r="M17" i="5"/>
  <c r="N17" i="5"/>
  <c r="O17" i="5"/>
  <c r="R17" i="5"/>
  <c r="W17" i="5"/>
  <c r="Q17" i="5"/>
  <c r="K17" i="5"/>
  <c r="V17" i="5"/>
  <c r="P17" i="5"/>
  <c r="S17" i="5"/>
  <c r="U17" i="5"/>
  <c r="I17" i="5"/>
  <c r="L17" i="5"/>
  <c r="N8" i="3"/>
  <c r="S8" i="3"/>
  <c r="R8" i="3"/>
  <c r="Q8" i="3"/>
  <c r="O8" i="3"/>
  <c r="P8" i="3"/>
  <c r="G8" i="3"/>
  <c r="L8" i="3"/>
  <c r="K8" i="3"/>
  <c r="W8" i="3"/>
  <c r="V8" i="3"/>
  <c r="J19" i="3"/>
  <c r="J23" i="3" s="1"/>
  <c r="G31" i="3"/>
  <c r="T19" i="3"/>
  <c r="H19" i="3"/>
  <c r="H23" i="3" s="1"/>
  <c r="S19" i="3"/>
  <c r="G19" i="3"/>
  <c r="Q19" i="3"/>
  <c r="L19" i="3"/>
  <c r="L23" i="3" s="1"/>
  <c r="R19" i="3"/>
  <c r="O19" i="3"/>
  <c r="I19" i="3"/>
  <c r="I23" i="3" s="1"/>
  <c r="P19" i="3"/>
  <c r="G51" i="3"/>
  <c r="G41" i="3"/>
  <c r="U19" i="3"/>
  <c r="N19" i="3"/>
  <c r="M19" i="3"/>
  <c r="W19" i="3"/>
  <c r="K19" i="3"/>
  <c r="K23" i="3" s="1"/>
  <c r="V19" i="3"/>
  <c r="M8" i="3"/>
  <c r="U8" i="3"/>
  <c r="I8" i="3"/>
  <c r="T8" i="3"/>
  <c r="H8" i="3"/>
  <c r="I20" i="2" a="1"/>
  <c r="I20" i="2" s="1"/>
  <c r="I21" i="2"/>
  <c r="K21" i="2"/>
  <c r="H21" i="2"/>
  <c r="J21" i="2"/>
  <c r="L21" i="2"/>
  <c r="H11" i="2"/>
  <c r="I23" i="2"/>
  <c r="P20" i="2" a="1"/>
  <c r="P20" i="2" s="1"/>
  <c r="W20" i="2" a="1"/>
  <c r="W20" i="2" s="1"/>
  <c r="V20" i="2" a="1"/>
  <c r="V20" i="2" s="1"/>
  <c r="U20" i="2" a="1"/>
  <c r="U20" i="2" s="1"/>
  <c r="L20" i="2" a="1"/>
  <c r="L20" i="2" s="1"/>
  <c r="R20" i="2" a="1"/>
  <c r="R20" i="2" s="1"/>
  <c r="J20" i="2" a="1"/>
  <c r="J20" i="2" s="1"/>
  <c r="H20" i="2" a="1"/>
  <c r="H20" i="2" s="1"/>
  <c r="O20" i="2" a="1"/>
  <c r="O20" i="2" s="1"/>
  <c r="N20" i="2" a="1"/>
  <c r="N20" i="2" s="1"/>
  <c r="M20" i="2" a="1"/>
  <c r="M20" i="2" s="1"/>
  <c r="T20" i="2" a="1"/>
  <c r="T20" i="2" s="1"/>
  <c r="S20" i="2" a="1"/>
  <c r="S20" i="2" s="1"/>
  <c r="K20" i="2" a="1"/>
  <c r="K20" i="2" s="1"/>
  <c r="Q20" i="2" a="1"/>
  <c r="Q20" i="2" s="1"/>
  <c r="H18" i="5" l="1" a="1"/>
  <c r="M23" i="2"/>
  <c r="H18" i="5" l="1"/>
  <c r="H20" i="5"/>
  <c r="H32" i="5"/>
  <c r="H31" i="5"/>
  <c r="H29" i="5"/>
  <c r="H30" i="5"/>
  <c r="H28" i="5"/>
  <c r="H26" i="5"/>
  <c r="H25" i="5"/>
  <c r="H24" i="5"/>
  <c r="H23" i="5"/>
  <c r="H22" i="5"/>
  <c r="H33" i="5"/>
  <c r="H21" i="5"/>
  <c r="H19" i="5"/>
  <c r="H27" i="5"/>
  <c r="W23" i="2"/>
  <c r="T23" i="2"/>
  <c r="J23" i="2"/>
  <c r="K23" i="2"/>
  <c r="R23" i="2"/>
  <c r="Q23" i="2"/>
  <c r="L23" i="2"/>
  <c r="V23" i="2"/>
  <c r="U23" i="2"/>
  <c r="P23" i="2"/>
  <c r="S23" i="2"/>
  <c r="O23" i="2"/>
  <c r="N23" i="2"/>
  <c r="H23" i="2"/>
  <c r="I29" i="2" l="1" a="1"/>
  <c r="I29" i="2" s="1"/>
  <c r="I28" i="2" a="1"/>
  <c r="I28" i="2" s="1"/>
  <c r="I27" i="2" a="1"/>
  <c r="I27" i="2" s="1"/>
  <c r="I26" i="2" a="1"/>
  <c r="I26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<sst xmlns="http://schemas.openxmlformats.org/spreadsheetml/2006/main" count="517" uniqueCount="204">
  <si>
    <t>Rates</t>
  </si>
  <si>
    <t>Bonds</t>
  </si>
  <si>
    <t>Bound Pricing</t>
  </si>
  <si>
    <t>Inputs</t>
  </si>
  <si>
    <t>Nominal value</t>
  </si>
  <si>
    <t>N</t>
  </si>
  <si>
    <t>Coupon rate</t>
  </si>
  <si>
    <t>c</t>
  </si>
  <si>
    <t>Frequency of coupon</t>
  </si>
  <si>
    <t>n</t>
  </si>
  <si>
    <t>delta</t>
  </si>
  <si>
    <t>∆</t>
  </si>
  <si>
    <t>Computation of the Dirty Price</t>
  </si>
  <si>
    <t>Dirty price</t>
  </si>
  <si>
    <t>days</t>
  </si>
  <si>
    <t>Outputs</t>
  </si>
  <si>
    <t>Accrued interest</t>
  </si>
  <si>
    <t>Clean Price</t>
  </si>
  <si>
    <t>Yield To Maturity</t>
  </si>
  <si>
    <t>Nominal</t>
  </si>
  <si>
    <t>Delta</t>
  </si>
  <si>
    <t>i</t>
  </si>
  <si>
    <t>Ti</t>
  </si>
  <si>
    <t>CF(coupons)</t>
  </si>
  <si>
    <t>CF(Nominal)</t>
  </si>
  <si>
    <t>Last coupon payment</t>
  </si>
  <si>
    <t>PV(2-compounded)</t>
  </si>
  <si>
    <t>Objective</t>
  </si>
  <si>
    <t>CF(Total)</t>
  </si>
  <si>
    <t>PV(1-compounded)</t>
  </si>
  <si>
    <t>PV(4-compounded)</t>
  </si>
  <si>
    <t>PV(c-compounded)</t>
  </si>
  <si>
    <t>Present values</t>
  </si>
  <si>
    <t>n-comp</t>
  </si>
  <si>
    <t>Bound value</t>
  </si>
  <si>
    <t>y</t>
  </si>
  <si>
    <t>Use goal seeker to have Bound value = objective by changing y</t>
  </si>
  <si>
    <t>To find YTM use PV=price</t>
  </si>
  <si>
    <t>Computation of dirty price</t>
  </si>
  <si>
    <t xml:space="preserve">Computation of YTM </t>
  </si>
  <si>
    <t>Compute discount factors from interest rates</t>
  </si>
  <si>
    <t>Rates and discounts</t>
  </si>
  <si>
    <t>Compute Discount rates from interest rates</t>
  </si>
  <si>
    <t>Input</t>
  </si>
  <si>
    <t>r(0, Ti)</t>
  </si>
  <si>
    <t xml:space="preserve">The interest rate is </t>
  </si>
  <si>
    <t>Compounded</t>
  </si>
  <si>
    <t>Z(0, Ti)</t>
  </si>
  <si>
    <t>Cont</t>
  </si>
  <si>
    <t>Frequency</t>
  </si>
  <si>
    <t>t</t>
  </si>
  <si>
    <t>Compute Interest rates from Discount rates</t>
  </si>
  <si>
    <t>Compute interest rate from discount factor</t>
  </si>
  <si>
    <t>Find coupon rate c from Discount factors Z IF the bond quotes at par</t>
  </si>
  <si>
    <t>We can recover Z(0, Ti) from r(0, Ti) here</t>
  </si>
  <si>
    <t>c=</t>
  </si>
  <si>
    <t>Annualized coupon rate</t>
  </si>
  <si>
    <t>Find Bound Price From (c, N, Z)</t>
  </si>
  <si>
    <t xml:space="preserve">Nominal </t>
  </si>
  <si>
    <t>Bound price</t>
  </si>
  <si>
    <t>PV(CF)</t>
  </si>
  <si>
    <t>Last i</t>
  </si>
  <si>
    <t>Coupon quotes at</t>
  </si>
  <si>
    <t>time since last coupon</t>
  </si>
  <si>
    <t>Z(t, Ti)</t>
  </si>
  <si>
    <t>Compute Interpolation of the discount factors given t</t>
  </si>
  <si>
    <t>Compute Interpolation of the discount factors from one frequency to another</t>
  </si>
  <si>
    <t>Frequency initial</t>
  </si>
  <si>
    <t>Frequency new</t>
  </si>
  <si>
    <t>n2</t>
  </si>
  <si>
    <t>n1</t>
  </si>
  <si>
    <t>delta initial</t>
  </si>
  <si>
    <t>delta new</t>
  </si>
  <si>
    <t>∆1</t>
  </si>
  <si>
    <t>∆2</t>
  </si>
  <si>
    <t>Z1(0, Ti)</t>
  </si>
  <si>
    <t>Z2(0, Ti)</t>
  </si>
  <si>
    <t>Forward on bonds</t>
  </si>
  <si>
    <t>Compute discount factor from T2 to T1 at t, F(t, T1, T2)</t>
  </si>
  <si>
    <t>F(0, Ti-1, Ti)</t>
  </si>
  <si>
    <t>fn(0, Ti-1, Ti)</t>
  </si>
  <si>
    <t>Forward on a simple underlying</t>
  </si>
  <si>
    <t>Final time</t>
  </si>
  <si>
    <t>T</t>
  </si>
  <si>
    <t>Constant interest rate</t>
  </si>
  <si>
    <t>r</t>
  </si>
  <si>
    <t>F_0,T</t>
  </si>
  <si>
    <t>Evaluation time</t>
  </si>
  <si>
    <t>Underlying price at t=t</t>
  </si>
  <si>
    <t>S_t</t>
  </si>
  <si>
    <t>Forward rate agreement</t>
  </si>
  <si>
    <t>Z(0,Ti)</t>
  </si>
  <si>
    <t>F(0, T1, T2)</t>
  </si>
  <si>
    <t>T1</t>
  </si>
  <si>
    <t>T2</t>
  </si>
  <si>
    <t>The rate is</t>
  </si>
  <si>
    <t>f_n(0, T1, T2)</t>
  </si>
  <si>
    <t>Interpolation of Z given T</t>
  </si>
  <si>
    <t xml:space="preserve">Compute FRA values having discount factors Z </t>
  </si>
  <si>
    <t>Days elapsed</t>
  </si>
  <si>
    <t>Rate and discount'!B27</t>
  </si>
  <si>
    <t>F(t, T1, T2)</t>
  </si>
  <si>
    <t>f_n(t, T1, T2)</t>
  </si>
  <si>
    <t>Forward contract duration</t>
  </si>
  <si>
    <t>Or, obtain Z(t, Ti) using:</t>
  </si>
  <si>
    <t>Compute swap rates given Z</t>
  </si>
  <si>
    <t>Compute Z from the swap rate</t>
  </si>
  <si>
    <t>c(0,Ti)</t>
  </si>
  <si>
    <t>Find Z using the coupon rate and observed market prices</t>
  </si>
  <si>
    <t>Facial</t>
  </si>
  <si>
    <t>Number of bonds</t>
  </si>
  <si>
    <t>P</t>
  </si>
  <si>
    <t>=</t>
  </si>
  <si>
    <t>C</t>
  </si>
  <si>
    <t>x</t>
  </si>
  <si>
    <t>Z</t>
  </si>
  <si>
    <t>Thus,</t>
  </si>
  <si>
    <t>Z=</t>
  </si>
  <si>
    <t>Z(0, T1)</t>
  </si>
  <si>
    <t>Z(0, T2)</t>
  </si>
  <si>
    <t>Z(0, T3)</t>
  </si>
  <si>
    <t>Z(0, T4)</t>
  </si>
  <si>
    <t>Z(0, T5)</t>
  </si>
  <si>
    <t xml:space="preserve">Bond </t>
  </si>
  <si>
    <t>Obs. Price</t>
  </si>
  <si>
    <t>Coup. Rate</t>
  </si>
  <si>
    <t>Maturity</t>
  </si>
  <si>
    <t>nb periods</t>
  </si>
  <si>
    <t>C-1</t>
  </si>
  <si>
    <t>Fill the green then run script:</t>
  </si>
  <si>
    <t>inverse_matrix_Z_from_obs_mark_prices</t>
  </si>
  <si>
    <t>Bond price</t>
  </si>
  <si>
    <t>Convexity and duration</t>
  </si>
  <si>
    <t>CFi</t>
  </si>
  <si>
    <t>coupon rate</t>
  </si>
  <si>
    <t>bp</t>
  </si>
  <si>
    <t>Duration</t>
  </si>
  <si>
    <t>Convexity</t>
  </si>
  <si>
    <t>Ann. Coupon rate</t>
  </si>
  <si>
    <t>Can compute cash flows from:</t>
  </si>
  <si>
    <t>Bond pricing</t>
  </si>
  <si>
    <t>IRS - Interest Rate Swap</t>
  </si>
  <si>
    <t>last i</t>
  </si>
  <si>
    <t>We use r2 to compute Z(0, 0+∆), use the bootstrap_swap_rate script</t>
  </si>
  <si>
    <t>Z(0,0.5)</t>
  </si>
  <si>
    <t>Z(0, 0.5)</t>
  </si>
  <si>
    <t>Z(0, 1.0)</t>
  </si>
  <si>
    <t>Z(0, 1.5)</t>
  </si>
  <si>
    <t>Forward price on a bond</t>
  </si>
  <si>
    <t>T_i</t>
  </si>
  <si>
    <t>CF_i (coupons + nominal)</t>
  </si>
  <si>
    <t>F(t, T1, Ti)</t>
  </si>
  <si>
    <t>&lt;- fill it even if it is 0 and redundant</t>
  </si>
  <si>
    <t>Forward value at T1</t>
  </si>
  <si>
    <t>Forward value at t</t>
  </si>
  <si>
    <t>Caps &amp; Floors</t>
  </si>
  <si>
    <t>Flat volatility</t>
  </si>
  <si>
    <t>Strike rate</t>
  </si>
  <si>
    <t>&lt;- fill anyway</t>
  </si>
  <si>
    <t>Floorlet</t>
  </si>
  <si>
    <t>Black option pricer</t>
  </si>
  <si>
    <t>k</t>
  </si>
  <si>
    <t>T_{i-1}-t</t>
  </si>
  <si>
    <t>volatility</t>
  </si>
  <si>
    <t>Z(0, T_i)</t>
  </si>
  <si>
    <t>f_n(0, T_{i-1}, T_i)</t>
  </si>
  <si>
    <t>d1</t>
  </si>
  <si>
    <t>d2</t>
  </si>
  <si>
    <t>Phi(d1)</t>
  </si>
  <si>
    <t>Phi(d2)</t>
  </si>
  <si>
    <t>Caplet</t>
  </si>
  <si>
    <t>Floor</t>
  </si>
  <si>
    <t>Cap</t>
  </si>
  <si>
    <t>Value of a floor given (Z, k, v)</t>
  </si>
  <si>
    <t>Swaptions</t>
  </si>
  <si>
    <t xml:space="preserve">Value of a swaption </t>
  </si>
  <si>
    <t>T_0</t>
  </si>
  <si>
    <t>F(t, T_0, T_i)</t>
  </si>
  <si>
    <t>Z(t, T_i)</t>
  </si>
  <si>
    <t>f_s(t, T_0, T_M)</t>
  </si>
  <si>
    <t>F(t, T_0, T_M)</t>
  </si>
  <si>
    <t>Annuity</t>
  </si>
  <si>
    <t>= SUM of Z at which IRS pays</t>
  </si>
  <si>
    <t>Payer Swaption</t>
  </si>
  <si>
    <t>Receiver Swaption</t>
  </si>
  <si>
    <t>Nb of swap steps</t>
  </si>
  <si>
    <t>T1 (first swap time)</t>
  </si>
  <si>
    <t>T2 (last swap time)</t>
  </si>
  <si>
    <t>T1 (first *let time)</t>
  </si>
  <si>
    <t>T2 (last *let time)</t>
  </si>
  <si>
    <t>Nb of *lets</t>
  </si>
  <si>
    <t>-</t>
  </si>
  <si>
    <t>r_n(0, 0+∆)</t>
  </si>
  <si>
    <t>-&gt; If the strike is the value of the forward starting swap rate + some bp:</t>
  </si>
  <si>
    <t>FRA Pricer</t>
  </si>
  <si>
    <t>Z(t, T2)</t>
  </si>
  <si>
    <t>r_n(T1, T2)</t>
  </si>
  <si>
    <t>T1 &lt; t &lt; T2 ?</t>
  </si>
  <si>
    <t>V_FRA(t, T1, T2)</t>
  </si>
  <si>
    <t>c_n(T_i, T_M)</t>
  </si>
  <si>
    <t>Coupon rate (annual)</t>
  </si>
  <si>
    <t>Swap value</t>
  </si>
  <si>
    <t>IRS Pricer</t>
  </si>
  <si>
    <t>V_0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</si>
</sst>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sz val="11"/>
      <color rgb="FF3F3F76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theme="1"/>
      <name val="Grotesque"/>
      <family val="2"/>
    </font>
    <font>
      <sz val="11"/>
      <color theme="5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name val="Aptos Narrow"/>
      <family val="2"/>
      <scheme val="minor"/>
    </font>
    <font>
      <b/>
      <u/>
      <sz val="22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7F7F7F"/>
      </left>
      <right style="medium">
        <color indexed="64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 style="dotted">
        <color indexed="64"/>
      </left>
      <right/>
      <top/>
      <bottom/>
      <diagonal/>
    </border>
    <border>
      <left style="dotted">
        <color indexed="64"/>
      </left>
      <right/>
      <top/>
      <bottom style="medium">
        <color indexed="64"/>
      </bottom>
      <diagonal/>
    </border>
    <border>
      <left style="dotted">
        <color indexed="64"/>
      </left>
      <right/>
      <top style="dotted">
        <color indexed="64"/>
      </top>
      <bottom/>
      <diagonal/>
    </border>
    <border>
      <left/>
      <right/>
      <top style="dotted">
        <color indexed="64"/>
      </top>
      <bottom/>
      <diagonal/>
    </border>
    <border>
      <left/>
      <right style="medium">
        <color indexed="64"/>
      </right>
      <top style="dotted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0" fontId="2" fillId="0" borderId="1" applyNumberFormat="0" applyFill="0" applyAlignment="0" applyProtection="0"/>
    <xf numFmtId="0" fontId="3" fillId="0" borderId="2" applyNumberFormat="0" applyFill="0" applyAlignment="0" applyProtection="0"/>
    <xf numFmtId="0" fontId="4" fillId="2" borderId="3" applyNumberFormat="0" applyAlignment="0" applyProtection="0"/>
    <xf numFmtId="0" fontId="7" fillId="0" borderId="0" applyNumberFormat="0" applyFill="0" applyBorder="0" applyAlignment="0" applyProtection="0"/>
  </cellStyleXfs>
  <cellXfs count="159">
    <xf numFmtId="0" fontId="0" fillId="0" borderId="0" xfId="0"/>
    <xf numFmtId="0" fontId="0" fillId="3" borderId="0" xfId="0" applyFill="1"/>
    <xf numFmtId="0" fontId="2" fillId="3" borderId="1" xfId="2" applyFill="1"/>
    <xf numFmtId="0" fontId="7" fillId="3" borderId="0" xfId="5" applyFill="1"/>
    <xf numFmtId="0" fontId="7" fillId="3" borderId="0" xfId="5" quotePrefix="1" applyFill="1"/>
    <xf numFmtId="0" fontId="0" fillId="0" borderId="7" xfId="0" applyBorder="1"/>
    <xf numFmtId="0" fontId="0" fillId="4" borderId="8" xfId="0" applyFill="1" applyBorder="1"/>
    <xf numFmtId="0" fontId="0" fillId="4" borderId="6" xfId="0" applyFill="1" applyBorder="1"/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0" fillId="3" borderId="7" xfId="0" applyFill="1" applyBorder="1"/>
    <xf numFmtId="0" fontId="0" fillId="3" borderId="8" xfId="0" applyFill="1" applyBorder="1"/>
    <xf numFmtId="0" fontId="0" fillId="3" borderId="9" xfId="0" applyFill="1" applyBorder="1"/>
    <xf numFmtId="0" fontId="0" fillId="3" borderId="10" xfId="0" applyFill="1" applyBorder="1"/>
    <xf numFmtId="0" fontId="8" fillId="3" borderId="0" xfId="0" applyFont="1" applyFill="1"/>
    <xf numFmtId="0" fontId="4" fillId="6" borderId="12" xfId="4" applyFill="1" applyBorder="1"/>
    <xf numFmtId="0" fontId="3" fillId="3" borderId="2" xfId="3" applyFill="1"/>
    <xf numFmtId="0" fontId="0" fillId="6" borderId="0" xfId="0" applyFill="1"/>
    <xf numFmtId="0" fontId="0" fillId="7" borderId="11" xfId="1" applyNumberFormat="1" applyFont="1" applyFill="1" applyBorder="1"/>
    <xf numFmtId="0" fontId="0" fillId="7" borderId="8" xfId="0" applyFill="1" applyBorder="1"/>
    <xf numFmtId="0" fontId="0" fillId="6" borderId="6" xfId="0" applyFill="1" applyBorder="1"/>
    <xf numFmtId="10" fontId="0" fillId="6" borderId="8" xfId="0" applyNumberFormat="1" applyFill="1" applyBorder="1"/>
    <xf numFmtId="0" fontId="0" fillId="6" borderId="8" xfId="0" quotePrefix="1" applyFill="1" applyBorder="1"/>
    <xf numFmtId="0" fontId="0" fillId="6" borderId="8" xfId="0" applyFill="1" applyBorder="1"/>
    <xf numFmtId="0" fontId="0" fillId="6" borderId="11" xfId="0" applyFill="1" applyBorder="1"/>
    <xf numFmtId="0" fontId="0" fillId="3" borderId="11" xfId="0" applyFill="1" applyBorder="1"/>
    <xf numFmtId="0" fontId="5" fillId="3" borderId="0" xfId="0" applyFont="1" applyFill="1"/>
    <xf numFmtId="0" fontId="9" fillId="3" borderId="0" xfId="0" applyFont="1" applyFill="1"/>
    <xf numFmtId="0" fontId="0" fillId="3" borderId="0" xfId="0" applyFill="1" applyAlignment="1">
      <alignment horizontal="right"/>
    </xf>
    <xf numFmtId="10" fontId="0" fillId="5" borderId="8" xfId="0" applyNumberFormat="1" applyFill="1" applyBorder="1"/>
    <xf numFmtId="0" fontId="0" fillId="3" borderId="7" xfId="0" applyFill="1" applyBorder="1" applyAlignment="1">
      <alignment horizontal="left"/>
    </xf>
    <xf numFmtId="0" fontId="0" fillId="3" borderId="0" xfId="0" applyFill="1" applyAlignment="1">
      <alignment horizontal="left"/>
    </xf>
    <xf numFmtId="0" fontId="0" fillId="3" borderId="9" xfId="0" applyFill="1" applyBorder="1" applyAlignment="1">
      <alignment horizontal="left"/>
    </xf>
    <xf numFmtId="0" fontId="0" fillId="3" borderId="10" xfId="0" applyFill="1" applyBorder="1" applyAlignment="1">
      <alignment horizontal="left"/>
    </xf>
    <xf numFmtId="0" fontId="5" fillId="3" borderId="10" xfId="0" applyFont="1" applyFill="1" applyBorder="1"/>
    <xf numFmtId="0" fontId="0" fillId="3" borderId="10" xfId="0" applyFill="1" applyBorder="1" applyAlignment="1">
      <alignment horizontal="right"/>
    </xf>
    <xf numFmtId="10" fontId="0" fillId="5" borderId="11" xfId="0" applyNumberFormat="1" applyFill="1" applyBorder="1"/>
    <xf numFmtId="0" fontId="2" fillId="3" borderId="1" xfId="2" applyFill="1" applyAlignment="1">
      <alignment horizontal="left"/>
    </xf>
    <xf numFmtId="0" fontId="8" fillId="3" borderId="10" xfId="0" applyFont="1" applyFill="1" applyBorder="1"/>
    <xf numFmtId="0" fontId="0" fillId="4" borderId="11" xfId="0" applyFill="1" applyBorder="1"/>
    <xf numFmtId="0" fontId="0" fillId="6" borderId="6" xfId="0" quotePrefix="1" applyFill="1" applyBorder="1"/>
    <xf numFmtId="0" fontId="0" fillId="6" borderId="10" xfId="0" applyFill="1" applyBorder="1"/>
    <xf numFmtId="0" fontId="0" fillId="3" borderId="15" xfId="0" applyFill="1" applyBorder="1"/>
    <xf numFmtId="0" fontId="0" fillId="3" borderId="16" xfId="0" applyFill="1" applyBorder="1"/>
    <xf numFmtId="0" fontId="0" fillId="3" borderId="16" xfId="0" applyFill="1" applyBorder="1" applyAlignment="1">
      <alignment horizontal="right"/>
    </xf>
    <xf numFmtId="10" fontId="0" fillId="5" borderId="17" xfId="0" applyNumberFormat="1" applyFill="1" applyBorder="1"/>
    <xf numFmtId="0" fontId="0" fillId="3" borderId="17" xfId="0" applyFill="1" applyBorder="1"/>
    <xf numFmtId="0" fontId="4" fillId="6" borderId="6" xfId="4" applyFill="1" applyBorder="1"/>
    <xf numFmtId="0" fontId="6" fillId="3" borderId="4" xfId="0" applyFont="1" applyFill="1" applyBorder="1"/>
    <xf numFmtId="0" fontId="0" fillId="8" borderId="5" xfId="0" applyFill="1" applyBorder="1"/>
    <xf numFmtId="0" fontId="0" fillId="8" borderId="6" xfId="0" applyFill="1" applyBorder="1"/>
    <xf numFmtId="0" fontId="6" fillId="3" borderId="7" xfId="0" applyFont="1" applyFill="1" applyBorder="1"/>
    <xf numFmtId="0" fontId="0" fillId="8" borderId="0" xfId="0" applyFill="1"/>
    <xf numFmtId="0" fontId="0" fillId="8" borderId="8" xfId="0" applyFill="1" applyBorder="1"/>
    <xf numFmtId="0" fontId="6" fillId="3" borderId="9" xfId="0" applyFont="1" applyFill="1" applyBorder="1"/>
    <xf numFmtId="0" fontId="0" fillId="8" borderId="10" xfId="0" applyFill="1" applyBorder="1"/>
    <xf numFmtId="10" fontId="0" fillId="6" borderId="10" xfId="0" applyNumberFormat="1" applyFill="1" applyBorder="1"/>
    <xf numFmtId="10" fontId="0" fillId="6" borderId="11" xfId="0" applyNumberFormat="1" applyFill="1" applyBorder="1"/>
    <xf numFmtId="0" fontId="6" fillId="3" borderId="15" xfId="0" applyFont="1" applyFill="1" applyBorder="1"/>
    <xf numFmtId="0" fontId="0" fillId="8" borderId="16" xfId="0" applyFill="1" applyBorder="1"/>
    <xf numFmtId="0" fontId="0" fillId="8" borderId="17" xfId="0" applyFill="1" applyBorder="1"/>
    <xf numFmtId="10" fontId="0" fillId="8" borderId="16" xfId="0" applyNumberFormat="1" applyFill="1" applyBorder="1"/>
    <xf numFmtId="10" fontId="0" fillId="8" borderId="17" xfId="0" applyNumberFormat="1" applyFill="1" applyBorder="1"/>
    <xf numFmtId="0" fontId="0" fillId="5" borderId="17" xfId="0" applyFill="1" applyBorder="1"/>
    <xf numFmtId="0" fontId="0" fillId="8" borderId="15" xfId="0" applyFill="1" applyBorder="1"/>
    <xf numFmtId="2" fontId="4" fillId="6" borderId="13" xfId="1" applyNumberFormat="1" applyFont="1" applyFill="1" applyBorder="1"/>
    <xf numFmtId="9" fontId="4" fillId="6" borderId="14" xfId="1" applyFont="1" applyFill="1" applyBorder="1"/>
    <xf numFmtId="2" fontId="4" fillId="6" borderId="13" xfId="4" applyNumberFormat="1" applyFill="1" applyBorder="1"/>
    <xf numFmtId="0" fontId="0" fillId="3" borderId="0" xfId="0" applyFill="1" applyAlignment="1">
      <alignment horizontal="center"/>
    </xf>
    <xf numFmtId="0" fontId="0" fillId="0" borderId="10" xfId="0" applyBorder="1"/>
    <xf numFmtId="0" fontId="0" fillId="0" borderId="11" xfId="0" applyBorder="1"/>
    <xf numFmtId="0" fontId="0" fillId="9" borderId="10" xfId="0" applyFill="1" applyBorder="1"/>
    <xf numFmtId="0" fontId="0" fillId="3" borderId="18" xfId="0" applyFill="1" applyBorder="1"/>
    <xf numFmtId="0" fontId="0" fillId="3" borderId="19" xfId="0" applyFill="1" applyBorder="1"/>
    <xf numFmtId="0" fontId="7" fillId="3" borderId="19" xfId="5" applyFill="1" applyBorder="1"/>
    <xf numFmtId="0" fontId="0" fillId="0" borderId="19" xfId="0" applyBorder="1"/>
    <xf numFmtId="0" fontId="0" fillId="10" borderId="0" xfId="0" applyFill="1"/>
    <xf numFmtId="0" fontId="0" fillId="10" borderId="5" xfId="0" applyFill="1" applyBorder="1"/>
    <xf numFmtId="0" fontId="0" fillId="10" borderId="6" xfId="0" applyFill="1" applyBorder="1"/>
    <xf numFmtId="0" fontId="0" fillId="10" borderId="10" xfId="0" applyFill="1" applyBorder="1"/>
    <xf numFmtId="0" fontId="0" fillId="3" borderId="20" xfId="0" applyFill="1" applyBorder="1"/>
    <xf numFmtId="0" fontId="0" fillId="3" borderId="21" xfId="0" applyFill="1" applyBorder="1"/>
    <xf numFmtId="0" fontId="0" fillId="11" borderId="22" xfId="0" applyFill="1" applyBorder="1"/>
    <xf numFmtId="0" fontId="0" fillId="11" borderId="0" xfId="0" applyFill="1"/>
    <xf numFmtId="0" fontId="0" fillId="11" borderId="8" xfId="0" applyFill="1" applyBorder="1"/>
    <xf numFmtId="0" fontId="0" fillId="11" borderId="11" xfId="0" applyFill="1" applyBorder="1"/>
    <xf numFmtId="0" fontId="0" fillId="11" borderId="23" xfId="0" applyFill="1" applyBorder="1"/>
    <xf numFmtId="0" fontId="0" fillId="11" borderId="24" xfId="0" applyFill="1" applyBorder="1"/>
    <xf numFmtId="0" fontId="6" fillId="12" borderId="4" xfId="0" applyFont="1" applyFill="1" applyBorder="1"/>
    <xf numFmtId="0" fontId="0" fillId="13" borderId="6" xfId="0" applyFill="1" applyBorder="1"/>
    <xf numFmtId="0" fontId="0" fillId="13" borderId="8" xfId="0" applyFill="1" applyBorder="1"/>
    <xf numFmtId="0" fontId="0" fillId="13" borderId="11" xfId="0" applyFill="1" applyBorder="1"/>
    <xf numFmtId="9" fontId="0" fillId="6" borderId="10" xfId="1" applyFont="1" applyFill="1" applyBorder="1"/>
    <xf numFmtId="9" fontId="0" fillId="6" borderId="11" xfId="1" applyFont="1" applyFill="1" applyBorder="1"/>
    <xf numFmtId="0" fontId="0" fillId="6" borderId="25" xfId="0" applyFill="1" applyBorder="1"/>
    <xf numFmtId="0" fontId="0" fillId="6" borderId="26" xfId="0" applyFill="1" applyBorder="1"/>
    <xf numFmtId="0" fontId="0" fillId="6" borderId="27" xfId="0" applyFill="1" applyBorder="1"/>
    <xf numFmtId="0" fontId="0" fillId="6" borderId="4" xfId="0" applyFill="1" applyBorder="1"/>
    <xf numFmtId="0" fontId="0" fillId="6" borderId="5" xfId="0" applyFill="1" applyBorder="1"/>
    <xf numFmtId="0" fontId="0" fillId="6" borderId="7" xfId="0" applyFill="1" applyBorder="1"/>
    <xf numFmtId="0" fontId="0" fillId="6" borderId="9" xfId="0" applyFill="1" applyBorder="1"/>
    <xf numFmtId="0" fontId="0" fillId="4" borderId="25" xfId="0" applyFill="1" applyBorder="1"/>
    <xf numFmtId="0" fontId="0" fillId="4" borderId="26" xfId="0" applyFill="1" applyBorder="1"/>
    <xf numFmtId="0" fontId="0" fillId="4" borderId="27" xfId="0" applyFill="1" applyBorder="1"/>
    <xf numFmtId="9" fontId="0" fillId="6" borderId="0" xfId="1" applyFont="1" applyFill="1" applyBorder="1" applyAlignment="1"/>
    <xf numFmtId="9" fontId="0" fillId="6" borderId="10" xfId="1" applyFont="1" applyFill="1" applyBorder="1" applyAlignment="1"/>
    <xf numFmtId="0" fontId="0" fillId="3" borderId="28" xfId="0" applyFill="1" applyBorder="1"/>
    <xf numFmtId="0" fontId="0" fillId="3" borderId="29" xfId="0" applyFill="1" applyBorder="1"/>
    <xf numFmtId="0" fontId="0" fillId="3" borderId="30" xfId="0" applyFill="1" applyBorder="1"/>
    <xf numFmtId="0" fontId="10" fillId="3" borderId="0" xfId="0" applyFont="1" applyFill="1"/>
    <xf numFmtId="0" fontId="11" fillId="4" borderId="4" xfId="0" applyFont="1" applyFill="1" applyBorder="1"/>
    <xf numFmtId="0" fontId="11" fillId="4" borderId="5" xfId="0" applyFont="1" applyFill="1" applyBorder="1"/>
    <xf numFmtId="0" fontId="11" fillId="4" borderId="6" xfId="0" applyFont="1" applyFill="1" applyBorder="1"/>
    <xf numFmtId="0" fontId="11" fillId="4" borderId="7" xfId="0" applyFont="1" applyFill="1" applyBorder="1"/>
    <xf numFmtId="0" fontId="11" fillId="4" borderId="0" xfId="0" applyFont="1" applyFill="1"/>
    <xf numFmtId="0" fontId="11" fillId="4" borderId="8" xfId="0" applyFont="1" applyFill="1" applyBorder="1"/>
    <xf numFmtId="0" fontId="11" fillId="4" borderId="9" xfId="0" applyFont="1" applyFill="1" applyBorder="1"/>
    <xf numFmtId="0" fontId="11" fillId="4" borderId="10" xfId="0" applyFont="1" applyFill="1" applyBorder="1"/>
    <xf numFmtId="0" fontId="11" fillId="4" borderId="11" xfId="0" applyFont="1" applyFill="1" applyBorder="1"/>
    <xf numFmtId="0" fontId="0" fillId="4" borderId="16" xfId="0" applyFill="1" applyBorder="1"/>
    <xf numFmtId="0" fontId="0" fillId="9" borderId="16" xfId="0" applyFill="1" applyBorder="1"/>
    <xf numFmtId="0" fontId="11" fillId="6" borderId="12" xfId="4" applyFont="1" applyFill="1" applyBorder="1"/>
    <xf numFmtId="10" fontId="11" fillId="6" borderId="13" xfId="1" applyNumberFormat="1" applyFont="1" applyFill="1" applyBorder="1"/>
    <xf numFmtId="0" fontId="11" fillId="6" borderId="13" xfId="4" applyFont="1" applyFill="1" applyBorder="1"/>
    <xf numFmtId="10" fontId="11" fillId="6" borderId="14" xfId="4" applyNumberFormat="1" applyFont="1" applyFill="1" applyBorder="1"/>
    <xf numFmtId="0" fontId="0" fillId="6" borderId="16" xfId="0" applyFill="1" applyBorder="1"/>
    <xf numFmtId="0" fontId="0" fillId="6" borderId="17" xfId="0" applyFill="1" applyBorder="1"/>
    <xf numFmtId="0" fontId="6" fillId="3" borderId="0" xfId="0" applyFont="1" applyFill="1"/>
    <xf numFmtId="9" fontId="0" fillId="6" borderId="8" xfId="1" applyFont="1" applyFill="1" applyBorder="1"/>
    <xf numFmtId="9" fontId="0" fillId="4" borderId="10" xfId="1" applyFont="1" applyFill="1" applyBorder="1"/>
    <xf numFmtId="0" fontId="0" fillId="13" borderId="17" xfId="0" applyFill="1" applyBorder="1"/>
    <xf numFmtId="0" fontId="0" fillId="8" borderId="11" xfId="0" applyFill="1" applyBorder="1"/>
    <xf numFmtId="0" fontId="12" fillId="3" borderId="0" xfId="0" applyFont="1" applyFill="1"/>
    <xf numFmtId="0" fontId="0" fillId="5" borderId="6" xfId="0" applyFill="1" applyBorder="1"/>
    <xf numFmtId="0" fontId="0" fillId="5" borderId="11" xfId="0" applyFill="1" applyBorder="1"/>
    <xf numFmtId="0" fontId="6" fillId="0" borderId="7" xfId="0" applyFont="1" applyBorder="1"/>
    <xf numFmtId="0" fontId="0" fillId="3" borderId="0" xfId="0" quotePrefix="1" applyFill="1"/>
    <xf numFmtId="0" fontId="0" fillId="8" borderId="6" xfId="0" quotePrefix="1" applyFill="1" applyBorder="1"/>
    <xf numFmtId="0" fontId="0" fillId="5" borderId="25" xfId="0" applyFill="1" applyBorder="1"/>
    <xf numFmtId="0" fontId="0" fillId="5" borderId="26" xfId="0" applyFill="1" applyBorder="1"/>
    <xf numFmtId="0" fontId="0" fillId="5" borderId="27" xfId="0" applyFill="1" applyBorder="1"/>
    <xf numFmtId="0" fontId="0" fillId="9" borderId="17" xfId="0" applyFill="1" applyBorder="1"/>
    <xf numFmtId="0" fontId="5" fillId="3" borderId="0" xfId="0" quotePrefix="1" applyFont="1" applyFill="1"/>
    <xf numFmtId="0" fontId="13" fillId="3" borderId="0" xfId="0" applyFont="1" applyFill="1"/>
    <xf numFmtId="0" fontId="0" fillId="8" borderId="16" xfId="1" applyNumberFormat="1" applyFont="1" applyFill="1" applyBorder="1"/>
    <xf numFmtId="0" fontId="0" fillId="8" borderId="17" xfId="1" applyNumberFormat="1" applyFont="1" applyFill="1" applyBorder="1"/>
    <xf numFmtId="0" fontId="3" fillId="3" borderId="2" xfId="3" applyFill="1" applyAlignment="1">
      <alignment horizontal="left"/>
    </xf>
    <xf numFmtId="0" fontId="3" fillId="3" borderId="2" xfId="3" applyFill="1" applyAlignment="1"/>
    <xf numFmtId="0" fontId="0" fillId="3" borderId="4" xfId="0" applyFill="1" applyBorder="1"/>
    <xf numFmtId="0" fontId="0" fillId="3" borderId="5" xfId="0" applyFill="1" applyBorder="1"/>
    <xf numFmtId="0" fontId="0" fillId="3" borderId="9" xfId="0" applyFill="1" applyBorder="1"/>
    <xf numFmtId="0" fontId="0" fillId="3" borderId="10" xfId="0" applyFill="1" applyBorder="1"/>
    <xf numFmtId="0" fontId="2" fillId="3" borderId="1" xfId="2" applyFill="1" applyAlignment="1">
      <alignment horizontal="left"/>
    </xf>
    <xf numFmtId="0" fontId="7" fillId="3" borderId="10" xfId="5" quotePrefix="1" applyFill="1" applyBorder="1" applyAlignment="1">
      <alignment horizontal="left"/>
    </xf>
    <xf numFmtId="0" fontId="0" fillId="10" borderId="0" xfId="0" applyFill="1" applyBorder="1"/>
    <xf numFmtId="0" fontId="0" fillId="8" borderId="0" xfId="0" applyFill="1" applyBorder="1"/>
    <xf numFmtId="0" fontId="0" fillId="11" borderId="0" xfId="0" applyFill="1" applyBorder="1"/>
    <xf numFmtId="0" fontId="0" fillId="3" borderId="0" xfId="0" applyFill="1" applyBorder="1"/>
  </cellXfs>
  <cellStyles count="6">
    <cellStyle name="Heading 1" xfId="2" builtinId="16"/>
    <cellStyle name="Heading 2" xfId="3" builtinId="17"/>
    <cellStyle name="Hyperlink" xfId="5" builtinId="8"/>
    <cellStyle name="Input" xfId="4" builtinId="20"/>
    <cellStyle name="Normal" xfId="0" builtinId="0"/>
    <cellStyle name="Per cent" xfId="1" builtinId="5"/>
  </cellStyles>
  <dxfs count="41">
    <dxf>
      <fill>
        <patternFill>
          <bgColor rgb="FFFFFF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2" tint="-9.9948118533890809E-2"/>
        </patternFill>
      </fill>
    </dxf>
    <dxf>
      <fill>
        <patternFill>
          <bgColor theme="6" tint="0.7999816888943144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2" tint="-9.9948118533890809E-2"/>
        </patternFill>
      </fill>
    </dxf>
    <dxf>
      <fill>
        <patternFill>
          <bgColor theme="6" tint="0.7999816888943144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2" tint="-9.9948118533890809E-2"/>
        </patternFill>
      </fill>
    </dxf>
    <dxf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rgb="FFFFFF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2" tint="-9.9948118533890809E-2"/>
        </patternFill>
      </fill>
    </dxf>
    <dxf>
      <fill>
        <patternFill>
          <bgColor theme="6" tint="0.7999816888943144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2" tint="-9.9948118533890809E-2"/>
        </patternFill>
      </fill>
    </dxf>
    <dxf>
      <fill>
        <patternFill>
          <bgColor theme="6" tint="0.79998168889431442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theme="2"/>
        </patternFill>
      </fill>
    </dxf>
    <dxf>
      <fill>
        <patternFill>
          <bgColor theme="6" tint="0.79998168889431442"/>
        </patternFill>
      </fill>
    </dxf>
    <dxf>
      <fill>
        <patternFill>
          <bgColor theme="2"/>
        </patternFill>
      </fill>
    </dxf>
    <dxf>
      <fill>
        <patternFill>
          <bgColor theme="5" tint="0.79998168889431442"/>
        </patternFill>
      </fill>
    </dxf>
    <dxf>
      <fill>
        <patternFill>
          <bgColor theme="2"/>
        </patternFill>
      </fill>
    </dxf>
    <dxf>
      <fill>
        <patternFill>
          <bgColor theme="5" tint="0.79998168889431442"/>
        </patternFill>
      </fill>
    </dxf>
    <dxf>
      <fill>
        <patternFill>
          <bgColor theme="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600075</xdr:colOff>
      <xdr:row>67</xdr:row>
      <xdr:rowOff>180975</xdr:rowOff>
    </xdr:from>
    <xdr:to>
      <xdr:col>1</xdr:col>
      <xdr:colOff>1133635</xdr:colOff>
      <xdr:row>69</xdr:row>
      <xdr:rowOff>161977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D390556F-B3B6-277F-B21C-200B074DA5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0075" y="13468350"/>
          <a:ext cx="1143160" cy="37152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95250</xdr:colOff>
      <xdr:row>59</xdr:row>
      <xdr:rowOff>9526</xdr:rowOff>
    </xdr:from>
    <xdr:to>
      <xdr:col>22</xdr:col>
      <xdr:colOff>311151</xdr:colOff>
      <xdr:row>64</xdr:row>
      <xdr:rowOff>152401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DE375074-4AEE-3FAC-0D7E-B4A6F01B61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696450" y="11477626"/>
          <a:ext cx="5092701" cy="11049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523875</xdr:colOff>
      <xdr:row>88</xdr:row>
      <xdr:rowOff>133350</xdr:rowOff>
    </xdr:from>
    <xdr:to>
      <xdr:col>32</xdr:col>
      <xdr:colOff>391808</xdr:colOff>
      <xdr:row>97</xdr:row>
      <xdr:rowOff>85958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D65732-72A4-8DD4-757A-FDF333A027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896725" y="17316450"/>
          <a:ext cx="9192908" cy="16671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ECC0186-04A6-489C-8D74-9E5BC8DCE6B9}">
  <we:reference id="wa104168603" version="1.0.0.6" store="en-GB" storeType="OMEX"/>
  <we:alternateReferences>
    <we:reference id="WA104168603" version="1.0.0.6" store="WA104168603" storeType="OMEX"/>
  </we:alternateReferences>
  <we:properties/>
  <we:bindings/>
  <we:snapshot xmlns:r="http://schemas.openxmlformats.org/officeDocument/2006/relationships"/>
</we:webextension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5A2DEB-917D-4EC9-BF4D-5D2CFFA26CEC}">
  <sheetPr codeName="Sheet1"/>
  <dimension ref="A1:X45"/>
  <sheetViews>
    <sheetView workbookViewId="0">
      <selection activeCell="O12" sqref="O12"/>
    </sheetView>
  </sheetViews>
  <sheetFormatPr defaultRowHeight="15" x14ac:dyDescent="0.25"/>
  <sheetData>
    <row r="1" spans="1:24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</row>
    <row r="2" spans="1:24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</row>
    <row r="3" spans="1:24" ht="20.25" thickBot="1" x14ac:dyDescent="0.35">
      <c r="A3" s="1"/>
      <c r="B3" s="2" t="s">
        <v>0</v>
      </c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</row>
    <row r="4" spans="1:24" ht="15.75" thickTop="1" x14ac:dyDescent="0.25">
      <c r="A4" s="1"/>
      <c r="B4" s="1"/>
      <c r="C4" s="1" t="s">
        <v>40</v>
      </c>
      <c r="D4" s="1"/>
      <c r="E4" s="1"/>
      <c r="F4" s="1"/>
      <c r="G4" s="1"/>
      <c r="H4" s="73"/>
      <c r="I4" s="73"/>
      <c r="J4" s="73"/>
      <c r="K4" s="73"/>
      <c r="L4" s="73"/>
      <c r="M4" s="73"/>
      <c r="N4" s="73"/>
      <c r="O4" s="3" t="str">
        <f>HYPERLINK("#Rate and discount!B4", "Interest rate to Discount factor")</f>
        <v>Interest rate to Discount factor</v>
      </c>
      <c r="P4" s="1"/>
      <c r="Q4" s="1"/>
      <c r="R4" s="1"/>
      <c r="S4" s="1"/>
      <c r="T4" s="1"/>
      <c r="U4" s="1"/>
      <c r="V4" s="1"/>
      <c r="W4" s="1"/>
      <c r="X4" s="1"/>
    </row>
    <row r="5" spans="1:24" x14ac:dyDescent="0.25">
      <c r="A5" s="1"/>
      <c r="B5" s="1"/>
      <c r="C5" s="1" t="s">
        <v>52</v>
      </c>
      <c r="D5" s="1"/>
      <c r="E5" s="1"/>
      <c r="F5" s="1"/>
      <c r="G5" s="1"/>
      <c r="H5" s="74"/>
      <c r="I5" s="74"/>
      <c r="J5" s="74"/>
      <c r="K5" s="74"/>
      <c r="L5" s="74"/>
      <c r="M5" s="74"/>
      <c r="N5" s="74"/>
      <c r="O5" s="3" t="str">
        <f>HYPERLINK("#Rate and discount!B15", "Discount Factor to Interest rate")</f>
        <v>Discount Factor to Interest rate</v>
      </c>
      <c r="P5" s="1"/>
      <c r="Q5" s="1"/>
      <c r="R5" s="1"/>
      <c r="S5" s="1"/>
      <c r="T5" s="1"/>
      <c r="U5" s="1"/>
      <c r="V5" s="1"/>
      <c r="W5" s="1"/>
      <c r="X5" s="1"/>
    </row>
    <row r="6" spans="1:24" x14ac:dyDescent="0.25">
      <c r="A6" s="1"/>
      <c r="B6" s="1"/>
      <c r="C6" s="1" t="s">
        <v>65</v>
      </c>
      <c r="D6" s="1"/>
      <c r="E6" s="1"/>
      <c r="F6" s="1"/>
      <c r="G6" s="1"/>
      <c r="H6" s="1"/>
      <c r="I6" s="75"/>
      <c r="J6" s="74"/>
      <c r="K6" s="74"/>
      <c r="L6" s="74"/>
      <c r="M6" s="76"/>
      <c r="N6" s="74"/>
      <c r="O6" s="3" t="s">
        <v>97</v>
      </c>
      <c r="P6" s="1"/>
      <c r="Q6" s="1"/>
      <c r="R6" s="1"/>
      <c r="S6" s="1"/>
      <c r="T6" s="1"/>
      <c r="U6" s="1"/>
      <c r="V6" s="1"/>
      <c r="W6" s="1"/>
      <c r="X6" s="1"/>
    </row>
    <row r="7" spans="1:24" x14ac:dyDescent="0.25">
      <c r="A7" s="1"/>
      <c r="B7" s="1"/>
      <c r="C7" s="1" t="s">
        <v>66</v>
      </c>
      <c r="D7" s="1"/>
      <c r="E7" s="1"/>
      <c r="F7" s="1"/>
      <c r="G7" s="1"/>
      <c r="H7" s="1"/>
      <c r="I7" s="1"/>
      <c r="J7" s="1"/>
      <c r="K7" s="76"/>
      <c r="L7" s="74"/>
      <c r="M7" s="74"/>
      <c r="N7" s="74"/>
      <c r="O7" s="3" t="str">
        <f>HYPERLINK("#Rate and discount!B37", "Interpolation of Z from one frequency to another")</f>
        <v>Interpolation of Z from one frequency to another</v>
      </c>
      <c r="P7" s="1"/>
      <c r="Q7" s="1"/>
      <c r="R7" s="1"/>
      <c r="S7" s="1"/>
      <c r="T7" s="1"/>
      <c r="U7" s="1"/>
      <c r="V7" s="1"/>
      <c r="W7" s="1"/>
      <c r="X7" s="1"/>
    </row>
    <row r="8" spans="1:24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</row>
    <row r="9" spans="1:24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</row>
    <row r="10" spans="1:24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</row>
    <row r="11" spans="1:24" ht="20.25" thickBot="1" x14ac:dyDescent="0.35">
      <c r="A11" s="1"/>
      <c r="B11" s="2" t="s">
        <v>1</v>
      </c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</row>
    <row r="12" spans="1:24" ht="15.75" thickTop="1" x14ac:dyDescent="0.25">
      <c r="A12" s="1"/>
      <c r="B12" s="1"/>
      <c r="C12" s="1" t="s">
        <v>38</v>
      </c>
      <c r="D12" s="1"/>
      <c r="E12" s="1"/>
      <c r="F12" s="73"/>
      <c r="G12" s="73"/>
      <c r="H12" s="73"/>
      <c r="I12" s="73"/>
      <c r="J12" s="73"/>
      <c r="K12" s="73"/>
      <c r="L12" s="73"/>
      <c r="M12" s="73"/>
      <c r="N12" s="73"/>
      <c r="O12" s="4" t="str">
        <f>HYPERLINK("#Bond pricing!B5", "Computation dirty price")</f>
        <v>Computation dirty price</v>
      </c>
      <c r="P12" s="1"/>
      <c r="Q12" s="1"/>
      <c r="R12" s="1"/>
      <c r="S12" s="1"/>
      <c r="T12" s="1"/>
      <c r="U12" s="1"/>
      <c r="V12" s="1"/>
      <c r="W12" s="1"/>
      <c r="X12" s="1"/>
    </row>
    <row r="13" spans="1:24" x14ac:dyDescent="0.25">
      <c r="A13" s="1"/>
      <c r="B13" s="1"/>
      <c r="C13" s="1" t="s">
        <v>39</v>
      </c>
      <c r="D13" s="1"/>
      <c r="E13" s="1"/>
      <c r="F13" s="74"/>
      <c r="G13" s="74"/>
      <c r="H13" s="74"/>
      <c r="I13" s="74"/>
      <c r="J13" s="74"/>
      <c r="K13" s="74"/>
      <c r="L13" s="74"/>
      <c r="M13" s="74"/>
      <c r="N13" s="74"/>
      <c r="O13" s="3" t="str">
        <f>HYPERLINK("#Bond pricing!B16", "Computation YTM rate")</f>
        <v>Computation YTM rate</v>
      </c>
      <c r="P13" s="1"/>
      <c r="Q13" s="1"/>
      <c r="R13" s="1"/>
      <c r="S13" s="1"/>
      <c r="T13" s="1"/>
      <c r="U13" s="1"/>
      <c r="V13" s="1"/>
      <c r="W13" s="1"/>
      <c r="X13" s="1"/>
    </row>
    <row r="14" spans="1:24" x14ac:dyDescent="0.25">
      <c r="A14" s="1"/>
      <c r="B14" s="1"/>
      <c r="C14" s="1" t="s">
        <v>53</v>
      </c>
      <c r="D14" s="1"/>
      <c r="E14" s="1"/>
      <c r="F14" s="1"/>
      <c r="G14" s="1"/>
      <c r="H14" s="1"/>
      <c r="I14" s="1"/>
      <c r="J14" s="74"/>
      <c r="K14" s="74"/>
      <c r="L14" s="74"/>
      <c r="M14" s="74"/>
      <c r="N14" s="74"/>
      <c r="O14" s="3" t="str">
        <f>HYPERLINK("#Bond pricing!B33", "Coupon rate from Z if bond quotes at par")</f>
        <v>Coupon rate from Z if bond quotes at par</v>
      </c>
      <c r="P14" s="1"/>
      <c r="Q14" s="1"/>
      <c r="R14" s="1"/>
      <c r="S14" s="1"/>
      <c r="T14" s="1"/>
      <c r="U14" s="1"/>
      <c r="V14" s="1"/>
      <c r="W14" s="1"/>
      <c r="X14" s="1"/>
    </row>
    <row r="15" spans="1:24" x14ac:dyDescent="0.25">
      <c r="A15" s="1"/>
      <c r="B15" s="1"/>
      <c r="C15" s="1" t="s">
        <v>57</v>
      </c>
      <c r="D15" s="1"/>
      <c r="E15" s="1"/>
      <c r="F15" s="1"/>
      <c r="G15" s="73"/>
      <c r="H15" s="73"/>
      <c r="I15" s="73"/>
      <c r="J15" s="73"/>
      <c r="K15" s="73"/>
      <c r="L15" s="73"/>
      <c r="M15" s="73"/>
      <c r="N15" s="73"/>
      <c r="O15" s="3" t="str">
        <f>HYPERLINK("#Bond pricing!B45", "Bond Price from (c, N, Z)")</f>
        <v>Bond Price from (c, N, Z)</v>
      </c>
      <c r="P15" s="1"/>
      <c r="Q15" s="1"/>
      <c r="R15" s="1"/>
      <c r="S15" s="1"/>
      <c r="T15" s="1"/>
      <c r="U15" s="1"/>
      <c r="V15" s="1"/>
      <c r="W15" s="1"/>
      <c r="X15" s="1"/>
    </row>
    <row r="16" spans="1:24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</row>
    <row r="17" spans="1:24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</row>
    <row r="18" spans="1:24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</row>
    <row r="19" spans="1:24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</row>
    <row r="20" spans="1:24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</row>
    <row r="21" spans="1:24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</row>
    <row r="22" spans="1:24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</row>
    <row r="23" spans="1:24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</row>
    <row r="24" spans="1:24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</row>
    <row r="25" spans="1:24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</row>
    <row r="26" spans="1:24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</row>
    <row r="27" spans="1:24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</row>
    <row r="28" spans="1:24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</row>
    <row r="29" spans="1:24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</row>
    <row r="30" spans="1:24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</row>
    <row r="31" spans="1:24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</row>
    <row r="32" spans="1:24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</row>
    <row r="33" spans="1:24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</row>
    <row r="34" spans="1:24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</row>
    <row r="35" spans="1:24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</row>
    <row r="36" spans="1:24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</row>
    <row r="37" spans="1:24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</row>
    <row r="38" spans="1:24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</row>
    <row r="39" spans="1:24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</row>
    <row r="40" spans="1:24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</row>
    <row r="41" spans="1:24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</row>
    <row r="42" spans="1:24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</row>
    <row r="43" spans="1:24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</row>
    <row r="44" spans="1:24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</row>
    <row r="45" spans="1:24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</row>
  </sheetData>
  <hyperlinks>
    <hyperlink ref="O12" location="'Bond pricing'!A1" display="'Bond pricing'!A1" xr:uid="{26397C27-0F47-45D0-AE69-51A8AFEEF9CA}"/>
    <hyperlink ref="O6" location="'Rate and discount'!B27" display="Interpolation of Z given T" xr:uid="{C58778F2-4A13-4F8E-AB39-9B854AA49075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41D7BE-0078-4114-BD6B-C29203F310B7}">
  <sheetPr codeName="Sheet2"/>
  <dimension ref="A1:AC103"/>
  <sheetViews>
    <sheetView workbookViewId="0">
      <selection activeCell="L36" sqref="L36"/>
    </sheetView>
  </sheetViews>
  <sheetFormatPr defaultRowHeight="15" x14ac:dyDescent="0.25"/>
  <cols>
    <col min="2" max="2" width="20" bestFit="1" customWidth="1"/>
  </cols>
  <sheetData>
    <row r="1" spans="1:29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</row>
    <row r="2" spans="1:29" ht="20.25" thickBot="1" x14ac:dyDescent="0.35">
      <c r="A2" s="1"/>
      <c r="B2" s="38" t="s">
        <v>41</v>
      </c>
      <c r="C2" s="38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</row>
    <row r="3" spans="1:29" ht="15.75" thickTop="1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</row>
    <row r="4" spans="1:29" ht="18" thickBot="1" x14ac:dyDescent="0.35">
      <c r="A4" s="1"/>
      <c r="B4" s="147" t="s">
        <v>42</v>
      </c>
      <c r="C4" s="147"/>
      <c r="D4" s="147"/>
      <c r="E4" s="147"/>
      <c r="F4" s="147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</row>
    <row r="5" spans="1:29" ht="15.75" thickTop="1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</row>
    <row r="6" spans="1:29" ht="15.75" thickBot="1" x14ac:dyDescent="0.3">
      <c r="A6" s="1"/>
      <c r="B6" s="1" t="s">
        <v>43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</row>
    <row r="7" spans="1:29" x14ac:dyDescent="0.25">
      <c r="A7" s="1"/>
      <c r="B7" s="8" t="s">
        <v>49</v>
      </c>
      <c r="C7" s="9" t="s">
        <v>9</v>
      </c>
      <c r="D7" s="16">
        <v>2</v>
      </c>
      <c r="E7" s="1"/>
      <c r="F7" s="49" t="s">
        <v>21</v>
      </c>
      <c r="G7" s="50">
        <v>0</v>
      </c>
      <c r="H7" s="50">
        <v>1</v>
      </c>
      <c r="I7" s="50">
        <v>2</v>
      </c>
      <c r="J7" s="50">
        <v>3</v>
      </c>
      <c r="K7" s="50">
        <v>4</v>
      </c>
      <c r="L7" s="50">
        <v>5</v>
      </c>
      <c r="M7" s="50">
        <v>6</v>
      </c>
      <c r="N7" s="50">
        <v>7</v>
      </c>
      <c r="O7" s="50">
        <v>8</v>
      </c>
      <c r="P7" s="50">
        <v>9</v>
      </c>
      <c r="Q7" s="50">
        <v>10</v>
      </c>
      <c r="R7" s="50">
        <v>11</v>
      </c>
      <c r="S7" s="50">
        <v>12</v>
      </c>
      <c r="T7" s="50">
        <v>13</v>
      </c>
      <c r="U7" s="50">
        <v>14</v>
      </c>
      <c r="V7" s="50">
        <v>15</v>
      </c>
      <c r="W7" s="51">
        <v>16</v>
      </c>
      <c r="X7" s="1"/>
      <c r="Y7" s="1"/>
      <c r="Z7" s="1"/>
      <c r="AA7" s="1"/>
      <c r="AB7" s="1"/>
      <c r="AC7" s="1"/>
    </row>
    <row r="8" spans="1:29" ht="15.75" thickBot="1" x14ac:dyDescent="0.3">
      <c r="A8" s="1"/>
      <c r="B8" s="13" t="s">
        <v>10</v>
      </c>
      <c r="C8" s="39" t="s">
        <v>11</v>
      </c>
      <c r="D8" s="40">
        <f>1/D7</f>
        <v>0.5</v>
      </c>
      <c r="E8" s="1"/>
      <c r="F8" s="52" t="s">
        <v>22</v>
      </c>
      <c r="G8" s="53">
        <f>$D$8*G7</f>
        <v>0</v>
      </c>
      <c r="H8" s="53">
        <f t="shared" ref="H8:W8" si="0">$D$8*H7</f>
        <v>0.5</v>
      </c>
      <c r="I8" s="53">
        <f t="shared" si="0"/>
        <v>1</v>
      </c>
      <c r="J8" s="53">
        <f t="shared" si="0"/>
        <v>1.5</v>
      </c>
      <c r="K8" s="53">
        <f t="shared" si="0"/>
        <v>2</v>
      </c>
      <c r="L8" s="53">
        <f t="shared" si="0"/>
        <v>2.5</v>
      </c>
      <c r="M8" s="53">
        <f t="shared" si="0"/>
        <v>3</v>
      </c>
      <c r="N8" s="53">
        <f t="shared" si="0"/>
        <v>3.5</v>
      </c>
      <c r="O8" s="53">
        <f t="shared" si="0"/>
        <v>4</v>
      </c>
      <c r="P8" s="53">
        <f t="shared" si="0"/>
        <v>4.5</v>
      </c>
      <c r="Q8" s="53">
        <f t="shared" si="0"/>
        <v>5</v>
      </c>
      <c r="R8" s="53">
        <f t="shared" si="0"/>
        <v>5.5</v>
      </c>
      <c r="S8" s="53">
        <f t="shared" si="0"/>
        <v>6</v>
      </c>
      <c r="T8" s="53">
        <f t="shared" si="0"/>
        <v>6.5</v>
      </c>
      <c r="U8" s="53">
        <f t="shared" si="0"/>
        <v>7</v>
      </c>
      <c r="V8" s="53">
        <f t="shared" si="0"/>
        <v>7.5</v>
      </c>
      <c r="W8" s="54">
        <f t="shared" si="0"/>
        <v>8</v>
      </c>
      <c r="X8" s="1"/>
      <c r="Y8" s="1"/>
      <c r="Z8" s="1"/>
      <c r="AA8" s="1"/>
      <c r="AB8" s="1"/>
      <c r="AC8" s="1"/>
    </row>
    <row r="9" spans="1:29" ht="15.75" thickBot="1" x14ac:dyDescent="0.3">
      <c r="A9" s="1"/>
      <c r="B9" s="1"/>
      <c r="C9" s="1" t="s">
        <v>50</v>
      </c>
      <c r="D9" s="1">
        <v>0</v>
      </c>
      <c r="E9" s="1"/>
      <c r="F9" s="55" t="s">
        <v>44</v>
      </c>
      <c r="G9" s="56">
        <v>1</v>
      </c>
      <c r="H9" s="57">
        <v>4.7699999999999999E-2</v>
      </c>
      <c r="I9" s="57">
        <v>0</v>
      </c>
      <c r="J9" s="57">
        <v>0</v>
      </c>
      <c r="K9" s="57">
        <v>0</v>
      </c>
      <c r="L9" s="57">
        <v>0</v>
      </c>
      <c r="M9" s="57"/>
      <c r="N9" s="57"/>
      <c r="O9" s="57"/>
      <c r="P9" s="57"/>
      <c r="Q9" s="57"/>
      <c r="R9" s="57"/>
      <c r="S9" s="57"/>
      <c r="T9" s="57"/>
      <c r="U9" s="57"/>
      <c r="V9" s="57"/>
      <c r="W9" s="58"/>
      <c r="X9" s="1"/>
      <c r="Y9" s="1"/>
      <c r="Z9" s="1"/>
      <c r="AA9" s="1"/>
      <c r="AB9" s="1"/>
      <c r="AC9" s="1"/>
    </row>
    <row r="10" spans="1:29" x14ac:dyDescent="0.25">
      <c r="A10" s="1"/>
      <c r="B10" s="1"/>
      <c r="C10" s="1"/>
      <c r="D10" s="1"/>
      <c r="E10" s="1"/>
      <c r="F10" s="1" t="s">
        <v>45</v>
      </c>
      <c r="G10" s="1"/>
      <c r="H10" s="18" t="s">
        <v>48</v>
      </c>
      <c r="I10" s="1" t="s">
        <v>46</v>
      </c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</row>
    <row r="11" spans="1:29" ht="15.75" thickBot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</row>
    <row r="12" spans="1:29" ht="15.75" thickBot="1" x14ac:dyDescent="0.3">
      <c r="A12" s="1"/>
      <c r="B12" s="1"/>
      <c r="C12" s="1"/>
      <c r="D12" s="1"/>
      <c r="E12" s="1"/>
      <c r="F12" s="59" t="s">
        <v>47</v>
      </c>
      <c r="G12" s="60">
        <v>1</v>
      </c>
      <c r="H12" s="60">
        <f>IF(H9=0, 0, IF(TYPE($H$10)=1, (1+(H9/$H$10))^(-$H$10*(H8-$D$9)), EXP(-H9*(H8-$D$9))))</f>
        <v>0.97643216359813645</v>
      </c>
      <c r="I12" s="60">
        <f t="shared" ref="I12:W12" si="1">IF(I9=0, 0, IF(TYPE($H$10)=1, (1+(I9/$H$10))^(-$H$10*(I8-$D$9)), EXP(-I9*(I8-$D$9))))</f>
        <v>0</v>
      </c>
      <c r="J12" s="60">
        <f t="shared" si="1"/>
        <v>0</v>
      </c>
      <c r="K12" s="60">
        <f t="shared" si="1"/>
        <v>0</v>
      </c>
      <c r="L12" s="60">
        <f t="shared" si="1"/>
        <v>0</v>
      </c>
      <c r="M12" s="60">
        <f t="shared" si="1"/>
        <v>0</v>
      </c>
      <c r="N12" s="60">
        <f t="shared" si="1"/>
        <v>0</v>
      </c>
      <c r="O12" s="60">
        <f t="shared" si="1"/>
        <v>0</v>
      </c>
      <c r="P12" s="60">
        <f t="shared" si="1"/>
        <v>0</v>
      </c>
      <c r="Q12" s="60">
        <f t="shared" si="1"/>
        <v>0</v>
      </c>
      <c r="R12" s="60">
        <f t="shared" si="1"/>
        <v>0</v>
      </c>
      <c r="S12" s="60">
        <f t="shared" si="1"/>
        <v>0</v>
      </c>
      <c r="T12" s="60">
        <f t="shared" si="1"/>
        <v>0</v>
      </c>
      <c r="U12" s="60">
        <f t="shared" si="1"/>
        <v>0</v>
      </c>
      <c r="V12" s="60">
        <f t="shared" si="1"/>
        <v>0</v>
      </c>
      <c r="W12" s="60">
        <f t="shared" si="1"/>
        <v>0</v>
      </c>
      <c r="X12" s="1"/>
      <c r="Y12" s="1"/>
      <c r="Z12" s="1"/>
      <c r="AA12" s="1"/>
      <c r="AB12" s="1"/>
      <c r="AC12" s="1"/>
    </row>
    <row r="13" spans="1:29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</row>
    <row r="14" spans="1:29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</row>
    <row r="15" spans="1:29" ht="18" thickBot="1" x14ac:dyDescent="0.35">
      <c r="A15" s="1"/>
      <c r="B15" s="147" t="s">
        <v>51</v>
      </c>
      <c r="C15" s="147"/>
      <c r="D15" s="147"/>
      <c r="E15" s="147"/>
      <c r="F15" s="147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</row>
    <row r="16" spans="1:29" ht="15.75" thickTop="1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</row>
    <row r="17" spans="1:29" ht="15.75" thickBot="1" x14ac:dyDescent="0.3">
      <c r="A17" s="1"/>
      <c r="B17" s="1" t="s">
        <v>43</v>
      </c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</row>
    <row r="18" spans="1:29" x14ac:dyDescent="0.25">
      <c r="A18" s="1"/>
      <c r="B18" s="8" t="s">
        <v>49</v>
      </c>
      <c r="C18" s="9" t="s">
        <v>9</v>
      </c>
      <c r="D18" s="16">
        <v>2</v>
      </c>
      <c r="E18" s="1"/>
      <c r="F18" s="49" t="s">
        <v>21</v>
      </c>
      <c r="G18" s="50">
        <v>0</v>
      </c>
      <c r="H18" s="50">
        <v>1</v>
      </c>
      <c r="I18" s="50">
        <v>2</v>
      </c>
      <c r="J18" s="50">
        <v>3</v>
      </c>
      <c r="K18" s="50">
        <v>4</v>
      </c>
      <c r="L18" s="50">
        <v>5</v>
      </c>
      <c r="M18" s="50">
        <v>6</v>
      </c>
      <c r="N18" s="50">
        <v>7</v>
      </c>
      <c r="O18" s="50">
        <v>8</v>
      </c>
      <c r="P18" s="50">
        <v>9</v>
      </c>
      <c r="Q18" s="50">
        <v>10</v>
      </c>
      <c r="R18" s="50">
        <v>11</v>
      </c>
      <c r="S18" s="50">
        <v>12</v>
      </c>
      <c r="T18" s="50">
        <v>13</v>
      </c>
      <c r="U18" s="50">
        <v>14</v>
      </c>
      <c r="V18" s="50">
        <v>15</v>
      </c>
      <c r="W18" s="51">
        <v>16</v>
      </c>
      <c r="X18" s="1"/>
      <c r="Y18" s="1"/>
      <c r="Z18" s="1"/>
      <c r="AA18" s="1"/>
      <c r="AB18" s="1"/>
      <c r="AC18" s="1"/>
    </row>
    <row r="19" spans="1:29" ht="15.75" thickBot="1" x14ac:dyDescent="0.3">
      <c r="A19" s="1"/>
      <c r="B19" s="13" t="s">
        <v>10</v>
      </c>
      <c r="C19" s="39" t="s">
        <v>11</v>
      </c>
      <c r="D19" s="40">
        <f>1/D18</f>
        <v>0.5</v>
      </c>
      <c r="E19" s="1"/>
      <c r="F19" s="52" t="s">
        <v>22</v>
      </c>
      <c r="G19" s="53">
        <f>$D$8*G18</f>
        <v>0</v>
      </c>
      <c r="H19" s="53">
        <f t="shared" ref="H19" si="2">$D$8*H18</f>
        <v>0.5</v>
      </c>
      <c r="I19" s="53">
        <f t="shared" ref="I19" si="3">$D$8*I18</f>
        <v>1</v>
      </c>
      <c r="J19" s="53">
        <f t="shared" ref="J19" si="4">$D$8*J18</f>
        <v>1.5</v>
      </c>
      <c r="K19" s="53">
        <f t="shared" ref="K19" si="5">$D$8*K18</f>
        <v>2</v>
      </c>
      <c r="L19" s="53">
        <f t="shared" ref="L19" si="6">$D$8*L18</f>
        <v>2.5</v>
      </c>
      <c r="M19" s="53">
        <f t="shared" ref="M19" si="7">$D$8*M18</f>
        <v>3</v>
      </c>
      <c r="N19" s="53">
        <f t="shared" ref="N19" si="8">$D$8*N18</f>
        <v>3.5</v>
      </c>
      <c r="O19" s="53">
        <f t="shared" ref="O19" si="9">$D$8*O18</f>
        <v>4</v>
      </c>
      <c r="P19" s="53">
        <f t="shared" ref="P19" si="10">$D$8*P18</f>
        <v>4.5</v>
      </c>
      <c r="Q19" s="53">
        <f t="shared" ref="Q19" si="11">$D$8*Q18</f>
        <v>5</v>
      </c>
      <c r="R19" s="53">
        <f t="shared" ref="R19" si="12">$D$8*R18</f>
        <v>5.5</v>
      </c>
      <c r="S19" s="53">
        <f t="shared" ref="S19" si="13">$D$8*S18</f>
        <v>6</v>
      </c>
      <c r="T19" s="53">
        <f t="shared" ref="T19" si="14">$D$8*T18</f>
        <v>6.5</v>
      </c>
      <c r="U19" s="53">
        <f t="shared" ref="U19" si="15">$D$8*U18</f>
        <v>7</v>
      </c>
      <c r="V19" s="53">
        <f t="shared" ref="V19" si="16">$D$8*V18</f>
        <v>7.5</v>
      </c>
      <c r="W19" s="54">
        <f t="shared" ref="W19" si="17">$D$8*W18</f>
        <v>8</v>
      </c>
      <c r="X19" s="1"/>
      <c r="Y19" s="1"/>
      <c r="Z19" s="1"/>
      <c r="AA19" s="1"/>
      <c r="AB19" s="1"/>
      <c r="AC19" s="1"/>
    </row>
    <row r="20" spans="1:29" ht="15.75" thickBot="1" x14ac:dyDescent="0.3">
      <c r="A20" s="1"/>
      <c r="B20" s="1"/>
      <c r="C20" s="1" t="s">
        <v>50</v>
      </c>
      <c r="D20" s="1">
        <v>0</v>
      </c>
      <c r="E20" s="1"/>
      <c r="F20" s="55" t="s">
        <v>47</v>
      </c>
      <c r="G20" s="56">
        <v>1</v>
      </c>
      <c r="H20" s="42">
        <v>0.97643216359813645</v>
      </c>
      <c r="I20" s="42">
        <v>0</v>
      </c>
      <c r="J20" s="42">
        <v>0</v>
      </c>
      <c r="K20" s="42">
        <v>0</v>
      </c>
      <c r="L20" s="42">
        <v>0</v>
      </c>
      <c r="M20" s="42">
        <v>0</v>
      </c>
      <c r="N20" s="42">
        <v>0</v>
      </c>
      <c r="O20" s="42">
        <v>0</v>
      </c>
      <c r="P20" s="42">
        <v>0</v>
      </c>
      <c r="Q20" s="42">
        <v>0</v>
      </c>
      <c r="R20" s="42">
        <v>0</v>
      </c>
      <c r="S20" s="42">
        <v>0</v>
      </c>
      <c r="T20" s="42">
        <v>0</v>
      </c>
      <c r="U20" s="42">
        <v>0</v>
      </c>
      <c r="V20" s="42">
        <v>0</v>
      </c>
      <c r="W20" s="25">
        <v>0</v>
      </c>
      <c r="X20" s="1"/>
      <c r="Y20" s="1"/>
      <c r="Z20" s="1"/>
      <c r="AA20" s="1"/>
      <c r="AB20" s="1"/>
      <c r="AC20" s="1"/>
    </row>
    <row r="21" spans="1:29" x14ac:dyDescent="0.25">
      <c r="A21" s="1"/>
      <c r="B21" s="1"/>
      <c r="C21" s="1"/>
      <c r="D21" s="1"/>
      <c r="E21" s="1"/>
      <c r="F21" s="1" t="s">
        <v>45</v>
      </c>
      <c r="G21" s="1"/>
      <c r="H21" s="18">
        <v>12</v>
      </c>
      <c r="I21" s="1" t="s">
        <v>46</v>
      </c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</row>
    <row r="22" spans="1:29" ht="15.75" thickBot="1" x14ac:dyDescent="0.3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</row>
    <row r="23" spans="1:29" ht="15.75" thickBot="1" x14ac:dyDescent="0.3">
      <c r="A23" s="1"/>
      <c r="B23" s="1"/>
      <c r="C23" s="1"/>
      <c r="D23" s="1"/>
      <c r="E23" s="1"/>
      <c r="F23" s="59" t="s">
        <v>44</v>
      </c>
      <c r="G23" s="60">
        <v>1</v>
      </c>
      <c r="H23" s="62">
        <f>IF(H20=0, 0, IF(TYPE($H$21)=1, $H$21*(H20^(-1/($H$21*(H19-$D$20)))-1), -LN(H20)/(H19-$D$20)))</f>
        <v>4.7794929489898941E-2</v>
      </c>
      <c r="I23" s="62">
        <f t="shared" ref="I23:W23" si="18">IF(I20=0, 0, IF(TYPE($H$21)=1, $H$21*(I20^(-1/($H$21*(I19-$D$20)))-1), -LN(I20)/(I19-$D$20)))</f>
        <v>0</v>
      </c>
      <c r="J23" s="62">
        <f t="shared" si="18"/>
        <v>0</v>
      </c>
      <c r="K23" s="62">
        <f t="shared" si="18"/>
        <v>0</v>
      </c>
      <c r="L23" s="62">
        <f t="shared" si="18"/>
        <v>0</v>
      </c>
      <c r="M23" s="62">
        <f t="shared" si="18"/>
        <v>0</v>
      </c>
      <c r="N23" s="62">
        <f t="shared" si="18"/>
        <v>0</v>
      </c>
      <c r="O23" s="62">
        <f t="shared" si="18"/>
        <v>0</v>
      </c>
      <c r="P23" s="62">
        <f t="shared" si="18"/>
        <v>0</v>
      </c>
      <c r="Q23" s="62">
        <f t="shared" si="18"/>
        <v>0</v>
      </c>
      <c r="R23" s="62">
        <f t="shared" si="18"/>
        <v>0</v>
      </c>
      <c r="S23" s="62">
        <f t="shared" si="18"/>
        <v>0</v>
      </c>
      <c r="T23" s="62">
        <f t="shared" si="18"/>
        <v>0</v>
      </c>
      <c r="U23" s="62">
        <f t="shared" si="18"/>
        <v>0</v>
      </c>
      <c r="V23" s="62">
        <f t="shared" si="18"/>
        <v>0</v>
      </c>
      <c r="W23" s="63">
        <f t="shared" si="18"/>
        <v>0</v>
      </c>
      <c r="X23" s="1"/>
      <c r="Y23" s="1"/>
      <c r="Z23" s="1"/>
      <c r="AA23" s="1"/>
      <c r="AB23" s="1"/>
      <c r="AC23" s="1"/>
    </row>
    <row r="24" spans="1:29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</row>
    <row r="25" spans="1:29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</row>
    <row r="26" spans="1:29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</row>
    <row r="27" spans="1:29" ht="18" thickBot="1" x14ac:dyDescent="0.35">
      <c r="A27" s="1"/>
      <c r="B27" s="147" t="s">
        <v>65</v>
      </c>
      <c r="C27" s="147"/>
      <c r="D27" s="147"/>
      <c r="E27" s="147"/>
      <c r="F27" s="147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</row>
    <row r="28" spans="1:29" ht="15.75" thickTop="1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</row>
    <row r="29" spans="1:29" ht="15.75" thickBot="1" x14ac:dyDescent="0.3">
      <c r="A29" s="1"/>
      <c r="B29" s="1" t="s">
        <v>43</v>
      </c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</row>
    <row r="30" spans="1:29" x14ac:dyDescent="0.25">
      <c r="A30" s="1"/>
      <c r="B30" s="8" t="s">
        <v>49</v>
      </c>
      <c r="C30" s="9" t="s">
        <v>9</v>
      </c>
      <c r="D30" s="48">
        <v>2</v>
      </c>
      <c r="E30" s="1"/>
      <c r="F30" s="49" t="s">
        <v>21</v>
      </c>
      <c r="G30" s="50">
        <v>0</v>
      </c>
      <c r="H30" s="50">
        <v>1</v>
      </c>
      <c r="I30" s="50">
        <v>2</v>
      </c>
      <c r="J30" s="50">
        <v>3</v>
      </c>
      <c r="K30" s="50">
        <v>4</v>
      </c>
      <c r="L30" s="50">
        <v>5</v>
      </c>
      <c r="M30" s="50">
        <v>6</v>
      </c>
      <c r="N30" s="50">
        <v>7</v>
      </c>
      <c r="O30" s="50">
        <v>8</v>
      </c>
      <c r="P30" s="50">
        <v>9</v>
      </c>
      <c r="Q30" s="50">
        <v>10</v>
      </c>
      <c r="R30" s="50">
        <v>11</v>
      </c>
      <c r="S30" s="50">
        <v>12</v>
      </c>
      <c r="T30" s="50">
        <v>13</v>
      </c>
      <c r="U30" s="50">
        <v>14</v>
      </c>
      <c r="V30" s="50">
        <v>15</v>
      </c>
      <c r="W30" s="51">
        <v>16</v>
      </c>
      <c r="X30" s="1"/>
      <c r="Y30" s="1"/>
      <c r="Z30" s="1"/>
      <c r="AA30" s="1"/>
      <c r="AB30" s="1"/>
      <c r="AC30" s="1"/>
    </row>
    <row r="31" spans="1:29" x14ac:dyDescent="0.25">
      <c r="A31" s="1"/>
      <c r="B31" s="11" t="s">
        <v>10</v>
      </c>
      <c r="C31" s="15" t="s">
        <v>11</v>
      </c>
      <c r="D31" s="6">
        <f>1/D30</f>
        <v>0.5</v>
      </c>
      <c r="E31" s="1"/>
      <c r="F31" s="52" t="s">
        <v>22</v>
      </c>
      <c r="G31" s="53">
        <f>$D$8*G30</f>
        <v>0</v>
      </c>
      <c r="H31" s="53">
        <f>H30*$D$31</f>
        <v>0.5</v>
      </c>
      <c r="I31" s="53">
        <f t="shared" ref="I31:W31" si="19">I30*$D$31</f>
        <v>1</v>
      </c>
      <c r="J31" s="53">
        <f t="shared" si="19"/>
        <v>1.5</v>
      </c>
      <c r="K31" s="53">
        <f t="shared" si="19"/>
        <v>2</v>
      </c>
      <c r="L31" s="53">
        <f t="shared" si="19"/>
        <v>2.5</v>
      </c>
      <c r="M31" s="53">
        <f t="shared" si="19"/>
        <v>3</v>
      </c>
      <c r="N31" s="53">
        <f t="shared" si="19"/>
        <v>3.5</v>
      </c>
      <c r="O31" s="53">
        <f t="shared" si="19"/>
        <v>4</v>
      </c>
      <c r="P31" s="53">
        <f t="shared" si="19"/>
        <v>4.5</v>
      </c>
      <c r="Q31" s="53">
        <f t="shared" si="19"/>
        <v>5</v>
      </c>
      <c r="R31" s="53">
        <f t="shared" si="19"/>
        <v>5.5</v>
      </c>
      <c r="S31" s="53">
        <f t="shared" si="19"/>
        <v>6</v>
      </c>
      <c r="T31" s="53">
        <f t="shared" si="19"/>
        <v>6.5</v>
      </c>
      <c r="U31" s="53">
        <f t="shared" si="19"/>
        <v>7</v>
      </c>
      <c r="V31" s="53">
        <f t="shared" si="19"/>
        <v>7.5</v>
      </c>
      <c r="W31" s="54">
        <f t="shared" si="19"/>
        <v>8</v>
      </c>
      <c r="X31" s="1"/>
      <c r="Y31" s="1"/>
      <c r="Z31" s="1"/>
      <c r="AA31" s="1"/>
      <c r="AB31" s="1"/>
      <c r="AC31" s="1"/>
    </row>
    <row r="32" spans="1:29" ht="15.75" thickBot="1" x14ac:dyDescent="0.3">
      <c r="A32" s="1"/>
      <c r="B32" s="13" t="s">
        <v>63</v>
      </c>
      <c r="C32" s="14" t="s">
        <v>50</v>
      </c>
      <c r="D32" s="25">
        <v>27</v>
      </c>
      <c r="E32" s="1"/>
      <c r="F32" s="55" t="s">
        <v>47</v>
      </c>
      <c r="G32" s="56">
        <v>1</v>
      </c>
      <c r="H32" s="42">
        <v>0.97870000000000001</v>
      </c>
      <c r="I32" s="42">
        <v>0.95709999999999995</v>
      </c>
      <c r="J32" s="42">
        <v>0.93610000000000004</v>
      </c>
      <c r="K32" s="42"/>
      <c r="L32" s="42"/>
      <c r="M32" s="42"/>
      <c r="N32" s="42"/>
      <c r="O32" s="42"/>
      <c r="P32" s="42"/>
      <c r="Q32" s="42"/>
      <c r="R32" s="42"/>
      <c r="S32" s="42"/>
      <c r="T32" s="42"/>
      <c r="U32" s="42"/>
      <c r="V32" s="42"/>
      <c r="W32" s="25"/>
      <c r="X32" s="1"/>
      <c r="Y32" s="1"/>
      <c r="Z32" s="1"/>
      <c r="AA32" s="1"/>
      <c r="AB32" s="1"/>
      <c r="AC32" s="1"/>
    </row>
    <row r="33" spans="1:29" ht="15.75" thickBot="1" x14ac:dyDescent="0.3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</row>
    <row r="34" spans="1:29" ht="15.75" thickBot="1" x14ac:dyDescent="0.3">
      <c r="A34" s="1"/>
      <c r="B34" s="1"/>
      <c r="C34" s="1"/>
      <c r="D34" s="1"/>
      <c r="E34" s="1"/>
      <c r="F34" s="59" t="s">
        <v>64</v>
      </c>
      <c r="G34" s="60">
        <v>1</v>
      </c>
      <c r="H34" s="60">
        <f>IF(H32=0, 0, (G32*$D$32+H32*(360*$D$31-$D$32))/(360*$D$31))</f>
        <v>0.98189499999999996</v>
      </c>
      <c r="I34" s="60">
        <f t="shared" ref="I34:W34" si="20">IF(I32=0, 0, (H32*$D$32+I32*(360*$D$31-$D$32))/(360*$D$31))</f>
        <v>0.96033999999999997</v>
      </c>
      <c r="J34" s="60">
        <f t="shared" si="20"/>
        <v>0.93925000000000003</v>
      </c>
      <c r="K34" s="60">
        <f t="shared" si="20"/>
        <v>0</v>
      </c>
      <c r="L34" s="60">
        <f t="shared" si="20"/>
        <v>0</v>
      </c>
      <c r="M34" s="60">
        <f t="shared" si="20"/>
        <v>0</v>
      </c>
      <c r="N34" s="60">
        <f t="shared" si="20"/>
        <v>0</v>
      </c>
      <c r="O34" s="60">
        <f t="shared" si="20"/>
        <v>0</v>
      </c>
      <c r="P34" s="60">
        <f t="shared" si="20"/>
        <v>0</v>
      </c>
      <c r="Q34" s="60">
        <f t="shared" si="20"/>
        <v>0</v>
      </c>
      <c r="R34" s="60">
        <f t="shared" si="20"/>
        <v>0</v>
      </c>
      <c r="S34" s="60">
        <f t="shared" si="20"/>
        <v>0</v>
      </c>
      <c r="T34" s="60">
        <f t="shared" si="20"/>
        <v>0</v>
      </c>
      <c r="U34" s="60">
        <f t="shared" si="20"/>
        <v>0</v>
      </c>
      <c r="V34" s="60">
        <f t="shared" si="20"/>
        <v>0</v>
      </c>
      <c r="W34" s="60">
        <f t="shared" si="20"/>
        <v>0</v>
      </c>
      <c r="X34" s="1"/>
      <c r="Y34" s="1"/>
      <c r="Z34" s="1"/>
      <c r="AA34" s="1"/>
      <c r="AB34" s="1"/>
      <c r="AC34" s="1"/>
    </row>
    <row r="35" spans="1:29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</row>
    <row r="36" spans="1:29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</row>
    <row r="37" spans="1:29" ht="18" thickBot="1" x14ac:dyDescent="0.35">
      <c r="A37" s="1"/>
      <c r="B37" s="147" t="s">
        <v>66</v>
      </c>
      <c r="C37" s="147"/>
      <c r="D37" s="147"/>
      <c r="E37" s="147"/>
      <c r="F37" s="147"/>
      <c r="G37" s="147"/>
      <c r="H37" s="147"/>
      <c r="I37" s="147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</row>
    <row r="38" spans="1:29" ht="15.75" thickTop="1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</row>
    <row r="39" spans="1:29" ht="15.75" thickBot="1" x14ac:dyDescent="0.3">
      <c r="A39" s="1"/>
      <c r="B39" s="1" t="s">
        <v>43</v>
      </c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</row>
    <row r="40" spans="1:29" x14ac:dyDescent="0.25">
      <c r="A40" s="1"/>
      <c r="B40" s="8" t="s">
        <v>67</v>
      </c>
      <c r="C40" s="9" t="s">
        <v>70</v>
      </c>
      <c r="D40" s="48">
        <v>2</v>
      </c>
      <c r="E40" s="1"/>
      <c r="F40" s="49" t="s">
        <v>21</v>
      </c>
      <c r="G40" s="50">
        <v>0</v>
      </c>
      <c r="H40" s="50">
        <v>1</v>
      </c>
      <c r="I40" s="50">
        <v>2</v>
      </c>
      <c r="J40" s="50">
        <v>3</v>
      </c>
      <c r="K40" s="50">
        <v>4</v>
      </c>
      <c r="L40" s="50">
        <v>5</v>
      </c>
      <c r="M40" s="50">
        <v>6</v>
      </c>
      <c r="N40" s="50">
        <v>7</v>
      </c>
      <c r="O40" s="50">
        <v>8</v>
      </c>
      <c r="P40" s="50">
        <v>9</v>
      </c>
      <c r="Q40" s="50">
        <v>10</v>
      </c>
      <c r="R40" s="50">
        <v>11</v>
      </c>
      <c r="S40" s="50">
        <v>12</v>
      </c>
      <c r="T40" s="50">
        <v>13</v>
      </c>
      <c r="U40" s="50">
        <v>14</v>
      </c>
      <c r="V40" s="50">
        <v>15</v>
      </c>
      <c r="W40" s="51">
        <v>16</v>
      </c>
      <c r="X40" s="1"/>
      <c r="Y40" s="1"/>
      <c r="Z40" s="1"/>
      <c r="AA40" s="1"/>
      <c r="AB40" s="1"/>
      <c r="AC40" s="1"/>
    </row>
    <row r="41" spans="1:29" x14ac:dyDescent="0.25">
      <c r="A41" s="1"/>
      <c r="B41" s="5" t="s">
        <v>68</v>
      </c>
      <c r="C41" t="s">
        <v>69</v>
      </c>
      <c r="D41" s="24">
        <v>4</v>
      </c>
      <c r="E41" s="1"/>
      <c r="F41" s="52" t="s">
        <v>22</v>
      </c>
      <c r="G41" s="53">
        <f>$D$8*G40</f>
        <v>0</v>
      </c>
      <c r="H41" s="53">
        <f t="shared" ref="H41:W41" si="21">H40*$D$43</f>
        <v>0.25</v>
      </c>
      <c r="I41" s="53">
        <f t="shared" si="21"/>
        <v>0.5</v>
      </c>
      <c r="J41" s="53">
        <f t="shared" si="21"/>
        <v>0.75</v>
      </c>
      <c r="K41" s="53">
        <f t="shared" si="21"/>
        <v>1</v>
      </c>
      <c r="L41" s="53">
        <f t="shared" si="21"/>
        <v>1.25</v>
      </c>
      <c r="M41" s="53">
        <f t="shared" si="21"/>
        <v>1.5</v>
      </c>
      <c r="N41" s="53">
        <f t="shared" si="21"/>
        <v>1.75</v>
      </c>
      <c r="O41" s="53">
        <f t="shared" si="21"/>
        <v>2</v>
      </c>
      <c r="P41" s="53">
        <f t="shared" si="21"/>
        <v>2.25</v>
      </c>
      <c r="Q41" s="53">
        <f t="shared" si="21"/>
        <v>2.5</v>
      </c>
      <c r="R41" s="53">
        <f t="shared" si="21"/>
        <v>2.75</v>
      </c>
      <c r="S41" s="53">
        <f t="shared" si="21"/>
        <v>3</v>
      </c>
      <c r="T41" s="53">
        <f t="shared" si="21"/>
        <v>3.25</v>
      </c>
      <c r="U41" s="53">
        <f t="shared" si="21"/>
        <v>3.5</v>
      </c>
      <c r="V41" s="53">
        <f t="shared" si="21"/>
        <v>3.75</v>
      </c>
      <c r="W41" s="54">
        <f t="shared" si="21"/>
        <v>4</v>
      </c>
      <c r="X41" s="1"/>
      <c r="Y41" s="1"/>
      <c r="Z41" s="1"/>
      <c r="AA41" s="1"/>
      <c r="AB41" s="1"/>
      <c r="AC41" s="1"/>
    </row>
    <row r="42" spans="1:29" ht="15.75" thickBot="1" x14ac:dyDescent="0.3">
      <c r="A42" s="1"/>
      <c r="B42" s="11" t="s">
        <v>71</v>
      </c>
      <c r="C42" s="15" t="s">
        <v>73</v>
      </c>
      <c r="D42" s="6">
        <f>1/D40</f>
        <v>0.5</v>
      </c>
      <c r="E42" s="1"/>
      <c r="F42" s="55" t="s">
        <v>75</v>
      </c>
      <c r="G42" s="56">
        <v>1</v>
      </c>
      <c r="H42" s="56">
        <v>0</v>
      </c>
      <c r="I42" s="42">
        <v>0.98509999999999998</v>
      </c>
      <c r="J42" s="56">
        <v>0</v>
      </c>
      <c r="K42" s="42">
        <v>0.96950000000000003</v>
      </c>
      <c r="L42" s="56">
        <v>0</v>
      </c>
      <c r="M42" s="42">
        <v>0.95740000000000003</v>
      </c>
      <c r="N42" s="56">
        <v>0</v>
      </c>
      <c r="O42" s="42">
        <v>0.94550000000000001</v>
      </c>
      <c r="P42" s="56">
        <v>0</v>
      </c>
      <c r="Q42" s="42">
        <v>0</v>
      </c>
      <c r="R42" s="56">
        <v>0</v>
      </c>
      <c r="S42" s="42">
        <v>0</v>
      </c>
      <c r="T42" s="56">
        <v>0</v>
      </c>
      <c r="U42" s="42">
        <v>0</v>
      </c>
      <c r="V42" s="56">
        <v>0</v>
      </c>
      <c r="W42" s="25">
        <v>0</v>
      </c>
      <c r="X42" s="1"/>
      <c r="Y42" s="1"/>
      <c r="Z42" s="1"/>
      <c r="AA42" s="1"/>
      <c r="AB42" s="1"/>
      <c r="AC42" s="1"/>
    </row>
    <row r="43" spans="1:29" ht="15.75" thickBot="1" x14ac:dyDescent="0.3">
      <c r="A43" s="1"/>
      <c r="B43" s="11" t="s">
        <v>72</v>
      </c>
      <c r="C43" s="15" t="s">
        <v>74</v>
      </c>
      <c r="D43" s="6">
        <f>1/D41</f>
        <v>0.25</v>
      </c>
      <c r="E43" s="1"/>
      <c r="F43" s="55" t="s">
        <v>76</v>
      </c>
      <c r="G43" s="65">
        <v>1</v>
      </c>
      <c r="H43" s="60">
        <f>AVERAGE(G42,I42)</f>
        <v>0.99255000000000004</v>
      </c>
      <c r="I43" s="60">
        <f>I42</f>
        <v>0.98509999999999998</v>
      </c>
      <c r="J43" s="60">
        <f>AVERAGE(I42,K42)</f>
        <v>0.97730000000000006</v>
      </c>
      <c r="K43" s="60">
        <f>K42</f>
        <v>0.96950000000000003</v>
      </c>
      <c r="L43" s="60">
        <f>AVERAGE(K42,M42)</f>
        <v>0.96345000000000003</v>
      </c>
      <c r="M43" s="60">
        <f>M42</f>
        <v>0.95740000000000003</v>
      </c>
      <c r="N43" s="60">
        <f>AVERAGE(M42,O42)</f>
        <v>0.95145000000000002</v>
      </c>
      <c r="O43" s="60">
        <f>O42</f>
        <v>0.94550000000000001</v>
      </c>
      <c r="P43" s="60">
        <f>AVERAGE(O42,Q42)</f>
        <v>0.47275</v>
      </c>
      <c r="Q43" s="60">
        <f>Q42</f>
        <v>0</v>
      </c>
      <c r="R43" s="60">
        <f>AVERAGE(Q42,S42)</f>
        <v>0</v>
      </c>
      <c r="S43" s="60">
        <f>S42</f>
        <v>0</v>
      </c>
      <c r="T43" s="60">
        <f>AVERAGE(S42,U42)</f>
        <v>0</v>
      </c>
      <c r="U43" s="60">
        <f>U42</f>
        <v>0</v>
      </c>
      <c r="V43" s="60">
        <f>AVERAGE(U42,W42)</f>
        <v>0</v>
      </c>
      <c r="W43" s="61">
        <f>W42</f>
        <v>0</v>
      </c>
      <c r="X43" s="1"/>
      <c r="Y43" s="1"/>
      <c r="Z43" s="1"/>
      <c r="AA43" s="1"/>
      <c r="AB43" s="1"/>
      <c r="AC43" s="1"/>
    </row>
    <row r="44" spans="1:29" ht="15.75" thickBot="1" x14ac:dyDescent="0.3">
      <c r="A44" s="1"/>
      <c r="B44" s="13" t="s">
        <v>61</v>
      </c>
      <c r="C44" s="14"/>
      <c r="D44" s="25">
        <v>8</v>
      </c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</row>
    <row r="45" spans="1:29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</row>
    <row r="46" spans="1:29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</row>
    <row r="47" spans="1:29" ht="18" thickBot="1" x14ac:dyDescent="0.35">
      <c r="A47" s="1"/>
      <c r="B47" s="147" t="s">
        <v>78</v>
      </c>
      <c r="C47" s="147"/>
      <c r="D47" s="147"/>
      <c r="E47" s="147"/>
      <c r="F47" s="147"/>
      <c r="G47" s="147"/>
      <c r="H47" s="147"/>
      <c r="I47" s="147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</row>
    <row r="48" spans="1:29" ht="15.75" thickTop="1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</row>
    <row r="49" spans="1:29" ht="15.75" thickBot="1" x14ac:dyDescent="0.3">
      <c r="A49" s="1"/>
      <c r="B49" s="1" t="s">
        <v>43</v>
      </c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</row>
    <row r="50" spans="1:29" x14ac:dyDescent="0.25">
      <c r="A50" s="1"/>
      <c r="B50" s="8" t="s">
        <v>49</v>
      </c>
      <c r="C50" s="9" t="s">
        <v>9</v>
      </c>
      <c r="D50" s="48">
        <v>2</v>
      </c>
      <c r="E50" s="1"/>
      <c r="F50" s="49" t="s">
        <v>21</v>
      </c>
      <c r="G50" s="50">
        <v>0</v>
      </c>
      <c r="H50" s="50">
        <v>1</v>
      </c>
      <c r="I50" s="50">
        <v>2</v>
      </c>
      <c r="J50" s="50">
        <v>3</v>
      </c>
      <c r="K50" s="50">
        <v>4</v>
      </c>
      <c r="L50" s="50">
        <v>5</v>
      </c>
      <c r="M50" s="50">
        <v>6</v>
      </c>
      <c r="N50" s="50">
        <v>7</v>
      </c>
      <c r="O50" s="50">
        <v>8</v>
      </c>
      <c r="P50" s="50">
        <v>9</v>
      </c>
      <c r="Q50" s="50">
        <v>10</v>
      </c>
      <c r="R50" s="50">
        <v>11</v>
      </c>
      <c r="S50" s="50">
        <v>12</v>
      </c>
      <c r="T50" s="50">
        <v>13</v>
      </c>
      <c r="U50" s="50">
        <v>14</v>
      </c>
      <c r="V50" s="50">
        <v>15</v>
      </c>
      <c r="W50" s="51">
        <v>16</v>
      </c>
      <c r="X50" s="1"/>
      <c r="Y50" s="1"/>
      <c r="Z50" s="1"/>
      <c r="AA50" s="1"/>
      <c r="AB50" s="1"/>
      <c r="AC50" s="1"/>
    </row>
    <row r="51" spans="1:29" ht="15.75" thickBot="1" x14ac:dyDescent="0.3">
      <c r="A51" s="1"/>
      <c r="B51" s="13" t="s">
        <v>10</v>
      </c>
      <c r="C51" s="39" t="s">
        <v>11</v>
      </c>
      <c r="D51" s="40">
        <f>1/D50</f>
        <v>0.5</v>
      </c>
      <c r="E51" s="1"/>
      <c r="F51" s="52" t="s">
        <v>22</v>
      </c>
      <c r="G51" s="53">
        <f>$D$8*G50</f>
        <v>0</v>
      </c>
      <c r="H51" s="53">
        <f>H50*$D$51</f>
        <v>0.5</v>
      </c>
      <c r="I51" s="53">
        <f t="shared" ref="I51:W51" si="22">I50*$D$51</f>
        <v>1</v>
      </c>
      <c r="J51" s="53">
        <f t="shared" si="22"/>
        <v>1.5</v>
      </c>
      <c r="K51" s="53">
        <f t="shared" si="22"/>
        <v>2</v>
      </c>
      <c r="L51" s="53">
        <f t="shared" si="22"/>
        <v>2.5</v>
      </c>
      <c r="M51" s="53">
        <f t="shared" si="22"/>
        <v>3</v>
      </c>
      <c r="N51" s="53">
        <f t="shared" si="22"/>
        <v>3.5</v>
      </c>
      <c r="O51" s="53">
        <f t="shared" si="22"/>
        <v>4</v>
      </c>
      <c r="P51" s="53">
        <f t="shared" si="22"/>
        <v>4.5</v>
      </c>
      <c r="Q51" s="53">
        <f t="shared" si="22"/>
        <v>5</v>
      </c>
      <c r="R51" s="53">
        <f t="shared" si="22"/>
        <v>5.5</v>
      </c>
      <c r="S51" s="53">
        <f t="shared" si="22"/>
        <v>6</v>
      </c>
      <c r="T51" s="53">
        <f t="shared" si="22"/>
        <v>6.5</v>
      </c>
      <c r="U51" s="53">
        <f t="shared" si="22"/>
        <v>7</v>
      </c>
      <c r="V51" s="53">
        <f t="shared" si="22"/>
        <v>7.5</v>
      </c>
      <c r="W51" s="53">
        <f t="shared" si="22"/>
        <v>8</v>
      </c>
      <c r="X51" s="1"/>
      <c r="Y51" s="1"/>
      <c r="Z51" s="1"/>
      <c r="AA51" s="1"/>
      <c r="AB51" s="1"/>
      <c r="AC51" s="1"/>
    </row>
    <row r="52" spans="1:29" ht="15.75" thickBot="1" x14ac:dyDescent="0.3">
      <c r="A52" s="1"/>
      <c r="B52" s="1"/>
      <c r="C52" s="1"/>
      <c r="D52" s="1"/>
      <c r="E52" s="1"/>
      <c r="F52" s="55" t="s">
        <v>47</v>
      </c>
      <c r="G52" s="56">
        <v>1</v>
      </c>
      <c r="H52" s="42">
        <v>0.98941000000000001</v>
      </c>
      <c r="I52" s="42">
        <v>0.97716000000000003</v>
      </c>
      <c r="J52" s="42">
        <v>0.96464000000000005</v>
      </c>
      <c r="K52" s="42">
        <v>0.95218000000000003</v>
      </c>
      <c r="L52" s="42">
        <v>0</v>
      </c>
      <c r="M52" s="42">
        <v>0</v>
      </c>
      <c r="N52" s="42">
        <v>0</v>
      </c>
      <c r="O52" s="42">
        <v>0</v>
      </c>
      <c r="P52" s="42">
        <v>0</v>
      </c>
      <c r="Q52" s="42">
        <v>0</v>
      </c>
      <c r="R52" s="42">
        <v>0</v>
      </c>
      <c r="S52" s="42">
        <v>0</v>
      </c>
      <c r="T52" s="42">
        <v>0</v>
      </c>
      <c r="U52" s="42">
        <v>0</v>
      </c>
      <c r="V52" s="42">
        <v>0</v>
      </c>
      <c r="W52" s="25">
        <v>0</v>
      </c>
      <c r="X52" s="1"/>
      <c r="Y52" s="1"/>
      <c r="Z52" s="1"/>
      <c r="AA52" s="1"/>
      <c r="AB52" s="1"/>
      <c r="AC52" s="1"/>
    </row>
    <row r="53" spans="1:29" ht="15.75" thickBot="1" x14ac:dyDescent="0.3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</row>
    <row r="54" spans="1:29" ht="15.75" thickBot="1" x14ac:dyDescent="0.3">
      <c r="A54" s="1"/>
      <c r="B54" s="1"/>
      <c r="C54" s="1"/>
      <c r="D54" s="1"/>
      <c r="E54" s="1"/>
      <c r="F54" s="59" t="s">
        <v>79</v>
      </c>
      <c r="G54" s="44"/>
      <c r="H54" s="44">
        <f>IF(I52=0, 0, I52/H52)</f>
        <v>0.98761888398136266</v>
      </c>
      <c r="I54" s="44">
        <f t="shared" ref="I54:W54" si="23">IF(J52=0, 0, J52/I52)</f>
        <v>0.98718735928609447</v>
      </c>
      <c r="J54" s="44">
        <f t="shared" si="23"/>
        <v>0.98708326422292247</v>
      </c>
      <c r="K54" s="44">
        <f t="shared" si="23"/>
        <v>0</v>
      </c>
      <c r="L54" s="44">
        <f t="shared" si="23"/>
        <v>0</v>
      </c>
      <c r="M54" s="44">
        <f t="shared" si="23"/>
        <v>0</v>
      </c>
      <c r="N54" s="44">
        <f t="shared" si="23"/>
        <v>0</v>
      </c>
      <c r="O54" s="44">
        <f t="shared" si="23"/>
        <v>0</v>
      </c>
      <c r="P54" s="44">
        <f t="shared" si="23"/>
        <v>0</v>
      </c>
      <c r="Q54" s="44">
        <f t="shared" si="23"/>
        <v>0</v>
      </c>
      <c r="R54" s="44">
        <f t="shared" si="23"/>
        <v>0</v>
      </c>
      <c r="S54" s="44">
        <f t="shared" si="23"/>
        <v>0</v>
      </c>
      <c r="T54" s="44">
        <f t="shared" si="23"/>
        <v>0</v>
      </c>
      <c r="U54" s="44">
        <f t="shared" si="23"/>
        <v>0</v>
      </c>
      <c r="V54" s="44">
        <f t="shared" si="23"/>
        <v>0</v>
      </c>
      <c r="W54" s="47">
        <f t="shared" si="23"/>
        <v>0</v>
      </c>
      <c r="X54" s="1"/>
      <c r="Y54" s="1"/>
      <c r="Z54" s="1"/>
      <c r="AA54" s="1"/>
      <c r="AB54" s="1"/>
      <c r="AC54" s="1"/>
    </row>
    <row r="55" spans="1:29" ht="15.75" thickBot="1" x14ac:dyDescent="0.3">
      <c r="A55" s="1"/>
      <c r="B55" s="1"/>
      <c r="C55" s="1"/>
      <c r="D55" s="1"/>
      <c r="E55" s="1"/>
      <c r="F55" s="1" t="s">
        <v>45</v>
      </c>
      <c r="G55" s="1"/>
      <c r="H55" s="18">
        <v>2</v>
      </c>
      <c r="I55" s="1" t="s">
        <v>46</v>
      </c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</row>
    <row r="56" spans="1:29" ht="15.75" thickBot="1" x14ac:dyDescent="0.3">
      <c r="A56" s="1"/>
      <c r="B56" s="1"/>
      <c r="C56" s="1"/>
      <c r="D56" s="1"/>
      <c r="E56" s="1"/>
      <c r="F56" s="59" t="s">
        <v>80</v>
      </c>
      <c r="G56" s="44"/>
      <c r="H56" s="44">
        <f>IF(H54=0, 0, IF(TYPE($H$55)=1, $H$55*(H54^(-1/($H$55*(I51-H51)))-1), -LN(H54)/(I51-H51)))</f>
        <v>2.5072659543984521E-2</v>
      </c>
      <c r="I56" s="44">
        <f t="shared" ref="I56:W56" si="24">IF(I54=0, 0, IF(TYPE($H$55)=1, $H$55*(I54^(-1/($H$55*(J51-I51)))-1), -LN(I54)/(J51-I51)))</f>
        <v>2.5957870293580765E-2</v>
      </c>
      <c r="J56" s="44">
        <f t="shared" si="24"/>
        <v>2.6171522191182461E-2</v>
      </c>
      <c r="K56" s="44">
        <f t="shared" si="24"/>
        <v>0</v>
      </c>
      <c r="L56" s="44">
        <f t="shared" si="24"/>
        <v>0</v>
      </c>
      <c r="M56" s="44">
        <f t="shared" si="24"/>
        <v>0</v>
      </c>
      <c r="N56" s="44">
        <f t="shared" si="24"/>
        <v>0</v>
      </c>
      <c r="O56" s="44">
        <f t="shared" si="24"/>
        <v>0</v>
      </c>
      <c r="P56" s="44">
        <f t="shared" si="24"/>
        <v>0</v>
      </c>
      <c r="Q56" s="44">
        <f t="shared" si="24"/>
        <v>0</v>
      </c>
      <c r="R56" s="44">
        <f t="shared" si="24"/>
        <v>0</v>
      </c>
      <c r="S56" s="44">
        <f t="shared" si="24"/>
        <v>0</v>
      </c>
      <c r="T56" s="44">
        <f t="shared" si="24"/>
        <v>0</v>
      </c>
      <c r="U56" s="44">
        <f t="shared" si="24"/>
        <v>0</v>
      </c>
      <c r="V56" s="44">
        <f t="shared" si="24"/>
        <v>0</v>
      </c>
      <c r="W56" s="44">
        <f t="shared" si="24"/>
        <v>0</v>
      </c>
      <c r="X56" s="1"/>
      <c r="Y56" s="1"/>
      <c r="Z56" s="1"/>
      <c r="AA56" s="1"/>
      <c r="AB56" s="1"/>
      <c r="AC56" s="1"/>
    </row>
    <row r="57" spans="1:29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</row>
    <row r="58" spans="1:29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</row>
    <row r="59" spans="1:29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</row>
    <row r="60" spans="1:29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</row>
    <row r="61" spans="1:29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</row>
    <row r="62" spans="1:29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</row>
    <row r="63" spans="1:29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</row>
    <row r="64" spans="1:29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</row>
    <row r="65" spans="1:29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</row>
    <row r="66" spans="1:29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</row>
    <row r="67" spans="1:29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</row>
    <row r="68" spans="1:29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</row>
    <row r="69" spans="1:29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</row>
    <row r="70" spans="1:29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</row>
    <row r="71" spans="1:29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</row>
    <row r="72" spans="1:29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</row>
    <row r="73" spans="1:29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</row>
    <row r="74" spans="1:29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</row>
    <row r="75" spans="1:29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</row>
    <row r="76" spans="1:29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</row>
    <row r="77" spans="1:29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</row>
    <row r="78" spans="1:29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</row>
    <row r="79" spans="1:29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</row>
    <row r="80" spans="1:29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</row>
    <row r="81" spans="1:29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</row>
    <row r="82" spans="1:29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</row>
    <row r="83" spans="1:29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</row>
    <row r="84" spans="1:29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</row>
    <row r="85" spans="1:29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</row>
    <row r="86" spans="1:29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</row>
    <row r="87" spans="1:29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</row>
    <row r="88" spans="1:29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</row>
    <row r="89" spans="1:29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</row>
    <row r="90" spans="1:29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</row>
    <row r="91" spans="1:29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</row>
    <row r="92" spans="1:29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</row>
    <row r="93" spans="1:29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</row>
    <row r="94" spans="1:29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</row>
    <row r="95" spans="1:29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</row>
    <row r="96" spans="1:29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</row>
    <row r="97" spans="1:29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</row>
    <row r="98" spans="1:29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</row>
    <row r="99" spans="1:29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</row>
    <row r="100" spans="1:29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</row>
    <row r="101" spans="1:29" x14ac:dyDescent="0.2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</row>
    <row r="102" spans="1:29" x14ac:dyDescent="0.2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</row>
    <row r="103" spans="1:29" x14ac:dyDescent="0.2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</row>
  </sheetData>
  <mergeCells count="5">
    <mergeCell ref="B47:I47"/>
    <mergeCell ref="B4:F4"/>
    <mergeCell ref="B15:F15"/>
    <mergeCell ref="B27:F27"/>
    <mergeCell ref="B37:I37"/>
  </mergeCells>
  <dataValidations count="2">
    <dataValidation type="list" allowBlank="1" showInputMessage="1" showErrorMessage="1" sqref="H10 H55" xr:uid="{F7DF095D-7648-4E59-9C05-3483436B3C37}">
      <formula1>"1,2,4,Cont"</formula1>
    </dataValidation>
    <dataValidation type="list" allowBlank="1" showInputMessage="1" showErrorMessage="1" sqref="H21" xr:uid="{AB183ACC-259A-45C3-8999-5F190ECCE467}">
      <formula1>"1,2,4,12,Cont"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F3F752-69E2-4C64-9AFB-94CD930917B5}">
  <sheetPr codeName="Sheet3"/>
  <dimension ref="A1:AT174"/>
  <sheetViews>
    <sheetView topLeftCell="A3" workbookViewId="0">
      <selection activeCell="I33" sqref="I33"/>
    </sheetView>
  </sheetViews>
  <sheetFormatPr defaultRowHeight="15" x14ac:dyDescent="0.25"/>
  <cols>
    <col min="2" max="2" width="36.5703125" bestFit="1" customWidth="1"/>
    <col min="14" max="14" width="9.140625" customWidth="1"/>
  </cols>
  <sheetData>
    <row r="1" spans="1:39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</row>
    <row r="2" spans="1:39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</row>
    <row r="3" spans="1:39" ht="20.25" thickBot="1" x14ac:dyDescent="0.35">
      <c r="A3" s="1"/>
      <c r="B3" s="2" t="s">
        <v>2</v>
      </c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</row>
    <row r="4" spans="1:39" ht="15.75" thickTop="1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</row>
    <row r="5" spans="1:39" ht="18" thickBot="1" x14ac:dyDescent="0.35">
      <c r="A5" s="1"/>
      <c r="B5" s="148" t="s">
        <v>12</v>
      </c>
      <c r="C5" s="148"/>
      <c r="D5" s="148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</row>
    <row r="6" spans="1:39" ht="15.75" thickTop="1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</row>
    <row r="7" spans="1:39" ht="15.75" thickBot="1" x14ac:dyDescent="0.3">
      <c r="A7" s="1"/>
      <c r="B7" s="1" t="s">
        <v>3</v>
      </c>
      <c r="C7" s="1"/>
      <c r="D7" s="1"/>
      <c r="E7" s="1"/>
      <c r="F7" s="1" t="s">
        <v>15</v>
      </c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</row>
    <row r="8" spans="1:39" x14ac:dyDescent="0.25">
      <c r="A8" s="1"/>
      <c r="B8" s="8" t="s">
        <v>4</v>
      </c>
      <c r="C8" s="9" t="s">
        <v>5</v>
      </c>
      <c r="D8" s="122">
        <v>50</v>
      </c>
      <c r="E8" s="1"/>
      <c r="F8" s="149" t="s">
        <v>16</v>
      </c>
      <c r="G8" s="150"/>
      <c r="H8" s="7">
        <f>D8*D9*D12*(D11/(360/D10))</f>
        <v>0.18527777777777776</v>
      </c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</row>
    <row r="9" spans="1:39" x14ac:dyDescent="0.25">
      <c r="A9" s="1"/>
      <c r="B9" s="11" t="s">
        <v>200</v>
      </c>
      <c r="C9" s="1" t="s">
        <v>7</v>
      </c>
      <c r="D9" s="123">
        <v>4.5999999999999999E-2</v>
      </c>
      <c r="E9" s="1"/>
      <c r="F9" s="11"/>
      <c r="G9" s="1"/>
      <c r="H9" s="12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</row>
    <row r="10" spans="1:39" x14ac:dyDescent="0.25">
      <c r="A10" s="1"/>
      <c r="B10" s="11" t="s">
        <v>8</v>
      </c>
      <c r="C10" s="1" t="s">
        <v>9</v>
      </c>
      <c r="D10" s="124">
        <v>4</v>
      </c>
      <c r="E10" s="1"/>
      <c r="F10" s="11" t="s">
        <v>17</v>
      </c>
      <c r="G10" s="1"/>
      <c r="H10" s="20">
        <f>D8*D13</f>
        <v>51.725000000000001</v>
      </c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</row>
    <row r="11" spans="1:39" ht="15.75" thickBot="1" x14ac:dyDescent="0.3">
      <c r="A11" s="1"/>
      <c r="B11" s="11" t="s">
        <v>25</v>
      </c>
      <c r="C11" s="1" t="s">
        <v>14</v>
      </c>
      <c r="D11" s="124">
        <v>29</v>
      </c>
      <c r="E11" s="1"/>
      <c r="F11" s="151" t="s">
        <v>13</v>
      </c>
      <c r="G11" s="152"/>
      <c r="H11" s="19">
        <f>H10+H8</f>
        <v>51.910277777777779</v>
      </c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</row>
    <row r="12" spans="1:39" x14ac:dyDescent="0.25">
      <c r="A12" s="1"/>
      <c r="B12" s="11" t="s">
        <v>10</v>
      </c>
      <c r="C12" s="15" t="s">
        <v>11</v>
      </c>
      <c r="D12" s="116">
        <f>1/D10</f>
        <v>0.25</v>
      </c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</row>
    <row r="13" spans="1:39" ht="15.75" thickBot="1" x14ac:dyDescent="0.3">
      <c r="A13" s="1"/>
      <c r="B13" s="13" t="s">
        <v>62</v>
      </c>
      <c r="C13" s="14"/>
      <c r="D13" s="125">
        <v>1.0345</v>
      </c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</row>
    <row r="14" spans="1:39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</row>
    <row r="15" spans="1:39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</row>
    <row r="16" spans="1:39" ht="18" thickBot="1" x14ac:dyDescent="0.35">
      <c r="A16" s="1"/>
      <c r="B16" s="17" t="s">
        <v>18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</row>
    <row r="17" spans="1:39" ht="15.75" thickTop="1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</row>
    <row r="18" spans="1:39" ht="15.75" thickBot="1" x14ac:dyDescent="0.3">
      <c r="A18" s="1"/>
      <c r="B18" s="1" t="s">
        <v>3</v>
      </c>
      <c r="C18" s="1"/>
      <c r="D18" s="1"/>
      <c r="E18" s="1"/>
      <c r="F18" s="1" t="s">
        <v>15</v>
      </c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</row>
    <row r="19" spans="1:39" x14ac:dyDescent="0.25">
      <c r="A19" s="1"/>
      <c r="B19" s="8" t="s">
        <v>19</v>
      </c>
      <c r="C19" s="9" t="s">
        <v>5</v>
      </c>
      <c r="D19" s="21">
        <v>100</v>
      </c>
      <c r="E19" s="1"/>
      <c r="F19" s="8" t="s">
        <v>21</v>
      </c>
      <c r="G19" s="9">
        <v>0</v>
      </c>
      <c r="H19" s="9">
        <v>1</v>
      </c>
      <c r="I19" s="9">
        <v>2</v>
      </c>
      <c r="J19" s="9">
        <v>3</v>
      </c>
      <c r="K19" s="9">
        <v>4</v>
      </c>
      <c r="L19" s="9">
        <v>5</v>
      </c>
      <c r="M19" s="9">
        <v>6</v>
      </c>
      <c r="N19" s="9">
        <v>7</v>
      </c>
      <c r="O19" s="9">
        <v>8</v>
      </c>
      <c r="P19" s="9">
        <v>9</v>
      </c>
      <c r="Q19" s="9">
        <v>10</v>
      </c>
      <c r="R19" s="9">
        <v>11</v>
      </c>
      <c r="S19" s="9">
        <v>12</v>
      </c>
      <c r="T19" s="9">
        <v>13</v>
      </c>
      <c r="U19" s="9">
        <v>14</v>
      </c>
      <c r="V19" s="9">
        <v>15</v>
      </c>
      <c r="W19" s="10">
        <v>16</v>
      </c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</row>
    <row r="20" spans="1:39" x14ac:dyDescent="0.25">
      <c r="A20" s="1"/>
      <c r="B20" s="11" t="s">
        <v>56</v>
      </c>
      <c r="C20" s="1" t="s">
        <v>7</v>
      </c>
      <c r="D20" s="22">
        <v>4.1700000000000001E-2</v>
      </c>
      <c r="E20" s="1"/>
      <c r="F20" s="11" t="s">
        <v>22</v>
      </c>
      <c r="G20" s="1"/>
      <c r="H20" s="1" cm="1">
        <f t="array" ref="H20">IF(TYPE($D$21)=1, $D$22*H19, Cont)</f>
        <v>0.5</v>
      </c>
      <c r="I20" s="1" cm="1">
        <f t="array" ref="I20">IF(TYPE($D$21)=1, $D$22*I19, Cont)</f>
        <v>1</v>
      </c>
      <c r="J20" s="1" cm="1">
        <f t="array" ref="J20">IF(TYPE($D$21)=1, $D$22*J19, Cont)</f>
        <v>1.5</v>
      </c>
      <c r="K20" s="1" cm="1">
        <f t="array" ref="K20">IF(TYPE($D$21)=1, $D$22*K19, Cont)</f>
        <v>2</v>
      </c>
      <c r="L20" s="1" cm="1">
        <f t="array" ref="L20">IF(TYPE($D$21)=1, $D$22*L19, Cont)</f>
        <v>2.5</v>
      </c>
      <c r="M20" s="1" cm="1">
        <f t="array" ref="M20">IF(TYPE($D$21)=1, $D$22*M19, Cont)</f>
        <v>3</v>
      </c>
      <c r="N20" s="1" cm="1">
        <f t="array" ref="N20">IF(TYPE($D$21)=1, $D$22*N19, Cont)</f>
        <v>3.5</v>
      </c>
      <c r="O20" s="1" cm="1">
        <f t="array" ref="O20">IF(TYPE($D$21)=1, $D$22*O19, Cont)</f>
        <v>4</v>
      </c>
      <c r="P20" s="1" cm="1">
        <f t="array" ref="P20">IF(TYPE($D$21)=1, $D$22*P19, Cont)</f>
        <v>4.5</v>
      </c>
      <c r="Q20" s="1" cm="1">
        <f t="array" ref="Q20">IF(TYPE($D$21)=1, $D$22*Q19, Cont)</f>
        <v>5</v>
      </c>
      <c r="R20" s="1" cm="1">
        <f t="array" ref="R20">IF(TYPE($D$21)=1, $D$22*R19, Cont)</f>
        <v>5.5</v>
      </c>
      <c r="S20" s="1" cm="1">
        <f t="array" ref="S20">IF(TYPE($D$21)=1, $D$22*S19, Cont)</f>
        <v>6</v>
      </c>
      <c r="T20" s="1" cm="1">
        <f t="array" ref="T20">IF(TYPE($D$21)=1, $D$22*T19, Cont)</f>
        <v>6.5</v>
      </c>
      <c r="U20" s="1" cm="1">
        <f t="array" ref="U20">IF(TYPE($D$21)=1, $D$22*U19, Cont)</f>
        <v>7</v>
      </c>
      <c r="V20" s="1" cm="1">
        <f t="array" ref="V20">IF(TYPE($D$21)=1, $D$22*V19, Cont)</f>
        <v>7.5</v>
      </c>
      <c r="W20" s="12" cm="1">
        <f t="array" ref="W20">IF(TYPE($D$21)=1, $D$22*W19, Cont)</f>
        <v>8</v>
      </c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</row>
    <row r="21" spans="1:39" x14ac:dyDescent="0.25">
      <c r="A21" s="1"/>
      <c r="B21" s="11" t="s">
        <v>8</v>
      </c>
      <c r="C21" s="1" t="s">
        <v>9</v>
      </c>
      <c r="D21" s="23">
        <v>2</v>
      </c>
      <c r="E21" s="1"/>
      <c r="F21" s="11" t="s">
        <v>23</v>
      </c>
      <c r="G21" s="1"/>
      <c r="H21" s="1">
        <f>IF(H19&lt;=$D$23, $D$19 * $D$20 * $D$22, 0)</f>
        <v>2.085</v>
      </c>
      <c r="I21" s="1">
        <f t="shared" ref="I21:W21" si="0">IF(I19&lt;=$D$23, $D$19 * $D$20 * $D$22, 0)</f>
        <v>2.085</v>
      </c>
      <c r="J21" s="1">
        <f t="shared" si="0"/>
        <v>2.085</v>
      </c>
      <c r="K21" s="1">
        <f t="shared" si="0"/>
        <v>2.085</v>
      </c>
      <c r="L21" s="1">
        <f t="shared" si="0"/>
        <v>0</v>
      </c>
      <c r="M21" s="1">
        <f t="shared" si="0"/>
        <v>0</v>
      </c>
      <c r="N21" s="1">
        <f t="shared" si="0"/>
        <v>0</v>
      </c>
      <c r="O21" s="1">
        <f t="shared" si="0"/>
        <v>0</v>
      </c>
      <c r="P21" s="1">
        <f t="shared" si="0"/>
        <v>0</v>
      </c>
      <c r="Q21" s="1">
        <f t="shared" si="0"/>
        <v>0</v>
      </c>
      <c r="R21" s="1">
        <f t="shared" si="0"/>
        <v>0</v>
      </c>
      <c r="S21" s="1">
        <f t="shared" si="0"/>
        <v>0</v>
      </c>
      <c r="T21" s="1">
        <f t="shared" si="0"/>
        <v>0</v>
      </c>
      <c r="U21" s="1">
        <f t="shared" si="0"/>
        <v>0</v>
      </c>
      <c r="V21" s="1">
        <f t="shared" si="0"/>
        <v>0</v>
      </c>
      <c r="W21" s="12">
        <f t="shared" si="0"/>
        <v>0</v>
      </c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</row>
    <row r="22" spans="1:39" x14ac:dyDescent="0.25">
      <c r="A22" s="1"/>
      <c r="B22" s="11" t="s">
        <v>20</v>
      </c>
      <c r="C22" s="15" t="s">
        <v>11</v>
      </c>
      <c r="D22" s="6">
        <f>1/D21</f>
        <v>0.5</v>
      </c>
      <c r="E22" s="1"/>
      <c r="F22" s="11" t="s">
        <v>24</v>
      </c>
      <c r="G22" s="1"/>
      <c r="H22" s="1">
        <f>IF(H19=$D$23, $D$19, 0)</f>
        <v>0</v>
      </c>
      <c r="I22" s="1">
        <f t="shared" ref="I22:W22" si="1">IF(I19=$D$23, $D$19, 0)</f>
        <v>0</v>
      </c>
      <c r="J22" s="1">
        <f t="shared" si="1"/>
        <v>0</v>
      </c>
      <c r="K22" s="1">
        <f t="shared" si="1"/>
        <v>100</v>
      </c>
      <c r="L22" s="1">
        <f t="shared" si="1"/>
        <v>0</v>
      </c>
      <c r="M22" s="1">
        <f t="shared" si="1"/>
        <v>0</v>
      </c>
      <c r="N22" s="1">
        <f t="shared" si="1"/>
        <v>0</v>
      </c>
      <c r="O22" s="1">
        <f t="shared" si="1"/>
        <v>0</v>
      </c>
      <c r="P22" s="1">
        <f t="shared" si="1"/>
        <v>0</v>
      </c>
      <c r="Q22" s="1">
        <f t="shared" si="1"/>
        <v>0</v>
      </c>
      <c r="R22" s="1">
        <f t="shared" si="1"/>
        <v>0</v>
      </c>
      <c r="S22" s="1">
        <f t="shared" si="1"/>
        <v>0</v>
      </c>
      <c r="T22" s="1">
        <f t="shared" si="1"/>
        <v>0</v>
      </c>
      <c r="U22" s="1">
        <f t="shared" si="1"/>
        <v>0</v>
      </c>
      <c r="V22" s="1">
        <f t="shared" si="1"/>
        <v>0</v>
      </c>
      <c r="W22" s="12">
        <f t="shared" si="1"/>
        <v>0</v>
      </c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</row>
    <row r="23" spans="1:39" ht="15.75" thickBot="1" x14ac:dyDescent="0.3">
      <c r="A23" s="1"/>
      <c r="B23" s="11" t="s">
        <v>61</v>
      </c>
      <c r="C23" s="1"/>
      <c r="D23" s="24">
        <v>4</v>
      </c>
      <c r="E23" s="1"/>
      <c r="F23" s="13" t="s">
        <v>28</v>
      </c>
      <c r="G23" s="14"/>
      <c r="H23" s="14">
        <f>H22+H21</f>
        <v>2.085</v>
      </c>
      <c r="I23" s="14">
        <f t="shared" ref="I23:W23" si="2">I22+I21</f>
        <v>2.085</v>
      </c>
      <c r="J23" s="14">
        <f t="shared" si="2"/>
        <v>2.085</v>
      </c>
      <c r="K23" s="14">
        <f t="shared" si="2"/>
        <v>102.08499999999999</v>
      </c>
      <c r="L23" s="14">
        <f t="shared" si="2"/>
        <v>0</v>
      </c>
      <c r="M23" s="14">
        <f t="shared" si="2"/>
        <v>0</v>
      </c>
      <c r="N23" s="14">
        <f t="shared" si="2"/>
        <v>0</v>
      </c>
      <c r="O23" s="14">
        <f t="shared" si="2"/>
        <v>0</v>
      </c>
      <c r="P23" s="14">
        <f t="shared" si="2"/>
        <v>0</v>
      </c>
      <c r="Q23" s="14">
        <f t="shared" si="2"/>
        <v>0</v>
      </c>
      <c r="R23" s="14">
        <f t="shared" si="2"/>
        <v>0</v>
      </c>
      <c r="S23" s="14">
        <f t="shared" si="2"/>
        <v>0</v>
      </c>
      <c r="T23" s="14">
        <f t="shared" si="2"/>
        <v>0</v>
      </c>
      <c r="U23" s="14">
        <f t="shared" si="2"/>
        <v>0</v>
      </c>
      <c r="V23" s="14">
        <f t="shared" si="2"/>
        <v>0</v>
      </c>
      <c r="W23" s="26">
        <f t="shared" si="2"/>
        <v>0</v>
      </c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</row>
    <row r="24" spans="1:39" ht="15.75" thickBot="1" x14ac:dyDescent="0.3">
      <c r="A24" s="1"/>
      <c r="B24" s="11" t="s">
        <v>25</v>
      </c>
      <c r="C24" s="1" t="s">
        <v>14</v>
      </c>
      <c r="D24" s="24">
        <v>0</v>
      </c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</row>
    <row r="25" spans="1:39" ht="15.75" thickBot="1" x14ac:dyDescent="0.3">
      <c r="A25" s="1"/>
      <c r="B25" s="13" t="s">
        <v>131</v>
      </c>
      <c r="C25" s="14"/>
      <c r="D25" s="25">
        <v>112.47</v>
      </c>
      <c r="E25" s="1"/>
      <c r="F25" s="8" t="s">
        <v>32</v>
      </c>
      <c r="G25" s="9"/>
      <c r="H25" s="9" t="s">
        <v>33</v>
      </c>
      <c r="I25" s="9" t="s">
        <v>34</v>
      </c>
      <c r="J25" s="9"/>
      <c r="K25" s="9" t="s">
        <v>27</v>
      </c>
      <c r="L25" s="9"/>
      <c r="M25" s="9"/>
      <c r="N25" s="10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</row>
    <row r="26" spans="1:39" x14ac:dyDescent="0.25">
      <c r="A26" s="1"/>
      <c r="B26" s="1"/>
      <c r="C26" s="1"/>
      <c r="D26" s="1"/>
      <c r="E26" s="1"/>
      <c r="F26" s="11" t="s">
        <v>29</v>
      </c>
      <c r="G26" s="1"/>
      <c r="H26" s="1">
        <v>1</v>
      </c>
      <c r="I26" s="27" cm="1">
        <f t="array" ref="I26">SUMPRODUCT($H$23:$W$23,(1+(N26/H26))^(-H26*($H$20:$W$20-($D$24/360))))</f>
        <v>109.36239896132392</v>
      </c>
      <c r="K26" s="1">
        <f>D25</f>
        <v>112.47</v>
      </c>
      <c r="L26" s="28"/>
      <c r="M26" s="29" t="s">
        <v>35</v>
      </c>
      <c r="N26" s="30">
        <v>-4.8238935573608798E-3</v>
      </c>
      <c r="O26" s="1"/>
      <c r="P26" s="1" t="s">
        <v>36</v>
      </c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</row>
    <row r="27" spans="1:39" x14ac:dyDescent="0.25">
      <c r="A27" s="1"/>
      <c r="B27" s="1" t="s">
        <v>37</v>
      </c>
      <c r="C27" s="1"/>
      <c r="D27" s="1"/>
      <c r="E27" s="1"/>
      <c r="F27" s="31" t="s">
        <v>26</v>
      </c>
      <c r="G27" s="32"/>
      <c r="H27">
        <v>2</v>
      </c>
      <c r="I27" s="27" cm="1">
        <f t="array" ref="I27">SUMPRODUCT($H$23:$W$23,(1+(N27/H27))^(-H27*($H$20:$W$20-($D$24/360))))</f>
        <v>112.46981876956633</v>
      </c>
      <c r="J27" s="1"/>
      <c r="K27" s="1">
        <f>D25</f>
        <v>112.47</v>
      </c>
      <c r="L27" s="1"/>
      <c r="M27" s="29" t="s">
        <v>35</v>
      </c>
      <c r="N27" s="30">
        <v>-1.9162803663777539E-2</v>
      </c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</row>
    <row r="28" spans="1:39" x14ac:dyDescent="0.25">
      <c r="A28" s="1"/>
      <c r="B28" s="1"/>
      <c r="C28" s="1"/>
      <c r="D28" s="1"/>
      <c r="E28" s="1"/>
      <c r="F28" s="31" t="s">
        <v>30</v>
      </c>
      <c r="G28" s="32"/>
      <c r="H28" s="1">
        <v>4</v>
      </c>
      <c r="I28" s="27" cm="1">
        <f t="array" ref="I28">SUMPRODUCT($H$23:$W$23,(1+(N28/H28))^(-H28*($H$20:$W$20-($D$24/360))))</f>
        <v>109.36239807444854</v>
      </c>
      <c r="J28" s="1"/>
      <c r="K28" s="1">
        <f>D25</f>
        <v>112.47</v>
      </c>
      <c r="L28" s="1"/>
      <c r="M28" s="29" t="s">
        <v>35</v>
      </c>
      <c r="N28" s="30">
        <v>-4.8326402554808683E-3</v>
      </c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</row>
    <row r="29" spans="1:39" ht="15.75" thickBot="1" x14ac:dyDescent="0.3">
      <c r="A29" s="1"/>
      <c r="B29" s="1"/>
      <c r="C29" s="1"/>
      <c r="D29" s="1"/>
      <c r="E29" s="1"/>
      <c r="F29" s="33" t="s">
        <v>31</v>
      </c>
      <c r="G29" s="34"/>
      <c r="H29" s="14"/>
      <c r="I29" s="35" cm="1">
        <f t="array" ref="I29">SUMPRODUCT($H$23:$W$23,EXP(-N29*($H$20:$W$20-($D$24/360))))</f>
        <v>109.36239819535028</v>
      </c>
      <c r="J29" s="14"/>
      <c r="K29" s="14">
        <f>D25</f>
        <v>112.47</v>
      </c>
      <c r="L29" s="14"/>
      <c r="M29" s="36" t="s">
        <v>35</v>
      </c>
      <c r="N29" s="37">
        <v>-4.8355624795138729E-3</v>
      </c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</row>
    <row r="30" spans="1:39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</row>
    <row r="31" spans="1:39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</row>
    <row r="32" spans="1:39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</row>
    <row r="33" spans="1:39" ht="18" thickBot="1" x14ac:dyDescent="0.35">
      <c r="A33" s="1"/>
      <c r="B33" s="147" t="s">
        <v>53</v>
      </c>
      <c r="C33" s="147"/>
      <c r="D33" s="147"/>
      <c r="E33" s="147"/>
      <c r="F33" s="147"/>
      <c r="G33" s="147"/>
      <c r="H33" s="147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</row>
    <row r="34" spans="1:39" ht="15.75" thickTop="1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</row>
    <row r="35" spans="1:39" x14ac:dyDescent="0.25">
      <c r="A35" s="1"/>
      <c r="B35" s="1" t="s">
        <v>54</v>
      </c>
      <c r="C35" s="1"/>
      <c r="D35" s="1"/>
      <c r="E35" s="3" t="str">
        <f>HYPERLINK("#Rate and discount!B4", "Interest rate -&gt; Discount factor")</f>
        <v>Interest rate -&gt; Discount factor</v>
      </c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</row>
    <row r="36" spans="1:39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</row>
    <row r="37" spans="1:39" ht="15.75" thickBot="1" x14ac:dyDescent="0.3">
      <c r="A37" s="1"/>
      <c r="B37" s="1" t="s">
        <v>3</v>
      </c>
      <c r="C37" s="1"/>
      <c r="D37" s="1"/>
      <c r="E37" s="1"/>
      <c r="F37" s="1" t="s">
        <v>15</v>
      </c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</row>
    <row r="38" spans="1:39" x14ac:dyDescent="0.25">
      <c r="A38" s="1"/>
      <c r="B38" s="8" t="s">
        <v>8</v>
      </c>
      <c r="C38" s="9" t="s">
        <v>9</v>
      </c>
      <c r="D38" s="41">
        <v>2</v>
      </c>
      <c r="E38" s="1"/>
      <c r="F38" s="8" t="s">
        <v>21</v>
      </c>
      <c r="G38" s="9">
        <v>0</v>
      </c>
      <c r="H38" s="9">
        <v>1</v>
      </c>
      <c r="I38" s="9">
        <v>2</v>
      </c>
      <c r="J38" s="9">
        <v>3</v>
      </c>
      <c r="K38" s="9">
        <v>4</v>
      </c>
      <c r="L38" s="9">
        <v>5</v>
      </c>
      <c r="M38" s="9">
        <v>6</v>
      </c>
      <c r="N38" s="9">
        <v>7</v>
      </c>
      <c r="O38" s="9">
        <v>8</v>
      </c>
      <c r="P38" s="9">
        <v>9</v>
      </c>
      <c r="Q38" s="9">
        <v>10</v>
      </c>
      <c r="R38" s="9">
        <v>11</v>
      </c>
      <c r="S38" s="9">
        <v>12</v>
      </c>
      <c r="T38" s="9">
        <v>13</v>
      </c>
      <c r="U38" s="9">
        <v>14</v>
      </c>
      <c r="V38" s="9">
        <v>15</v>
      </c>
      <c r="W38" s="10">
        <v>16</v>
      </c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</row>
    <row r="39" spans="1:39" x14ac:dyDescent="0.25">
      <c r="A39" s="1"/>
      <c r="B39" s="11" t="s">
        <v>20</v>
      </c>
      <c r="C39" s="15" t="s">
        <v>11</v>
      </c>
      <c r="D39" s="6">
        <f>1/D38</f>
        <v>0.5</v>
      </c>
      <c r="E39" s="1"/>
      <c r="F39" s="11" t="s">
        <v>22</v>
      </c>
      <c r="G39" s="1"/>
      <c r="H39" s="1">
        <f t="shared" ref="H39:W39" si="3">H38*$D$39</f>
        <v>0.5</v>
      </c>
      <c r="I39" s="1">
        <f t="shared" si="3"/>
        <v>1</v>
      </c>
      <c r="J39" s="1">
        <f t="shared" si="3"/>
        <v>1.5</v>
      </c>
      <c r="K39" s="1">
        <f t="shared" si="3"/>
        <v>2</v>
      </c>
      <c r="L39" s="1">
        <f t="shared" si="3"/>
        <v>2.5</v>
      </c>
      <c r="M39" s="1">
        <f t="shared" si="3"/>
        <v>3</v>
      </c>
      <c r="N39" s="1">
        <f t="shared" si="3"/>
        <v>3.5</v>
      </c>
      <c r="O39" s="1">
        <f t="shared" si="3"/>
        <v>4</v>
      </c>
      <c r="P39" s="1">
        <f t="shared" si="3"/>
        <v>4.5</v>
      </c>
      <c r="Q39" s="1">
        <f t="shared" si="3"/>
        <v>5</v>
      </c>
      <c r="R39" s="1">
        <f t="shared" si="3"/>
        <v>5.5</v>
      </c>
      <c r="S39" s="1">
        <f t="shared" si="3"/>
        <v>6</v>
      </c>
      <c r="T39" s="1">
        <f t="shared" si="3"/>
        <v>6.5</v>
      </c>
      <c r="U39" s="1">
        <f t="shared" si="3"/>
        <v>7</v>
      </c>
      <c r="V39" s="1">
        <f t="shared" si="3"/>
        <v>7.5</v>
      </c>
      <c r="W39" s="12">
        <f t="shared" si="3"/>
        <v>8</v>
      </c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</row>
    <row r="40" spans="1:39" ht="15.75" thickBot="1" x14ac:dyDescent="0.3">
      <c r="A40" s="1"/>
      <c r="B40" s="13" t="s">
        <v>61</v>
      </c>
      <c r="C40" s="14"/>
      <c r="D40" s="25">
        <v>4</v>
      </c>
      <c r="E40" s="1"/>
      <c r="F40" s="13" t="s">
        <v>47</v>
      </c>
      <c r="G40" s="14"/>
      <c r="H40" s="42">
        <v>0.98509999999999998</v>
      </c>
      <c r="I40" s="42">
        <v>0.96950000000000003</v>
      </c>
      <c r="J40" s="42">
        <v>0.95740000000000003</v>
      </c>
      <c r="K40" s="42">
        <v>0.94550000000000001</v>
      </c>
      <c r="L40" s="42"/>
      <c r="M40" s="42"/>
      <c r="N40" s="42"/>
      <c r="O40" s="42"/>
      <c r="P40" s="42"/>
      <c r="Q40" s="42"/>
      <c r="R40" s="42"/>
      <c r="S40" s="42"/>
      <c r="T40" s="42"/>
      <c r="U40" s="42"/>
      <c r="V40" s="42"/>
      <c r="W40" s="25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</row>
    <row r="41" spans="1:39" ht="15.75" thickBot="1" x14ac:dyDescent="0.3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</row>
    <row r="42" spans="1:39" ht="15.75" thickBot="1" x14ac:dyDescent="0.3">
      <c r="A42" s="1"/>
      <c r="B42" s="1"/>
      <c r="C42" s="1"/>
      <c r="D42" s="1"/>
      <c r="E42" s="1"/>
      <c r="F42" s="43" t="s">
        <v>6</v>
      </c>
      <c r="G42" s="44"/>
      <c r="H42" s="45" t="s">
        <v>55</v>
      </c>
      <c r="I42" s="46" cm="1">
        <f t="array" ref="I42">(1-INDEX($H$40:$W$40, $D$40))/($D$39*SUM($H$40:$W$40))</f>
        <v>2.8256642903434864E-2</v>
      </c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</row>
    <row r="43" spans="1:39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</row>
    <row r="44" spans="1:39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</row>
    <row r="45" spans="1:39" ht="18" thickBot="1" x14ac:dyDescent="0.35">
      <c r="A45" s="1"/>
      <c r="B45" s="147" t="s">
        <v>57</v>
      </c>
      <c r="C45" s="147"/>
      <c r="D45" s="147"/>
      <c r="E45" s="147"/>
      <c r="F45" s="147"/>
      <c r="G45" s="147"/>
      <c r="H45" s="147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</row>
    <row r="46" spans="1:39" ht="15.75" thickTop="1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</row>
    <row r="47" spans="1:39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</row>
    <row r="48" spans="1:39" ht="15.75" thickBot="1" x14ac:dyDescent="0.3">
      <c r="A48" s="1"/>
      <c r="B48" s="1" t="s">
        <v>3</v>
      </c>
      <c r="C48" s="1"/>
      <c r="D48" s="1"/>
      <c r="E48" s="1"/>
      <c r="F48" s="1" t="s">
        <v>15</v>
      </c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</row>
    <row r="49" spans="1:46" x14ac:dyDescent="0.25">
      <c r="A49" s="1"/>
      <c r="B49" s="8" t="s">
        <v>8</v>
      </c>
      <c r="C49" s="9" t="s">
        <v>9</v>
      </c>
      <c r="D49" s="41">
        <v>2</v>
      </c>
      <c r="E49" s="1"/>
      <c r="F49" s="8" t="s">
        <v>21</v>
      </c>
      <c r="G49" s="9">
        <v>0</v>
      </c>
      <c r="H49" s="9">
        <v>1</v>
      </c>
      <c r="I49" s="9">
        <v>2</v>
      </c>
      <c r="J49" s="9">
        <v>3</v>
      </c>
      <c r="K49" s="9">
        <v>4</v>
      </c>
      <c r="L49" s="9">
        <v>5</v>
      </c>
      <c r="M49" s="9">
        <v>6</v>
      </c>
      <c r="N49" s="9">
        <v>7</v>
      </c>
      <c r="O49" s="9">
        <v>8</v>
      </c>
      <c r="P49" s="9">
        <v>9</v>
      </c>
      <c r="Q49" s="9">
        <v>10</v>
      </c>
      <c r="R49" s="9">
        <v>11</v>
      </c>
      <c r="S49" s="9">
        <v>12</v>
      </c>
      <c r="T49" s="9">
        <v>13</v>
      </c>
      <c r="U49" s="9">
        <v>14</v>
      </c>
      <c r="V49" s="9">
        <v>15</v>
      </c>
      <c r="W49" s="10">
        <v>16</v>
      </c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</row>
    <row r="50" spans="1:46" x14ac:dyDescent="0.25">
      <c r="A50" s="1"/>
      <c r="B50" s="11" t="s">
        <v>20</v>
      </c>
      <c r="C50" s="15" t="s">
        <v>11</v>
      </c>
      <c r="D50" s="6">
        <f>1/D49</f>
        <v>0.5</v>
      </c>
      <c r="E50" s="1"/>
      <c r="F50" s="11" t="s">
        <v>22</v>
      </c>
      <c r="G50" s="1"/>
      <c r="H50" s="1">
        <f>H49*$D$50</f>
        <v>0.5</v>
      </c>
      <c r="I50" s="1">
        <f t="shared" ref="I50:W50" si="4">I49*$D$50</f>
        <v>1</v>
      </c>
      <c r="J50" s="1">
        <f t="shared" si="4"/>
        <v>1.5</v>
      </c>
      <c r="K50" s="1">
        <f t="shared" si="4"/>
        <v>2</v>
      </c>
      <c r="L50" s="1">
        <f t="shared" si="4"/>
        <v>2.5</v>
      </c>
      <c r="M50" s="1">
        <f t="shared" si="4"/>
        <v>3</v>
      </c>
      <c r="N50" s="1">
        <f t="shared" si="4"/>
        <v>3.5</v>
      </c>
      <c r="O50" s="1">
        <f t="shared" si="4"/>
        <v>4</v>
      </c>
      <c r="P50" s="1">
        <f t="shared" si="4"/>
        <v>4.5</v>
      </c>
      <c r="Q50" s="1">
        <f t="shared" si="4"/>
        <v>5</v>
      </c>
      <c r="R50" s="1">
        <f t="shared" si="4"/>
        <v>5.5</v>
      </c>
      <c r="S50" s="1">
        <f t="shared" si="4"/>
        <v>6</v>
      </c>
      <c r="T50" s="1">
        <f t="shared" si="4"/>
        <v>6.5</v>
      </c>
      <c r="U50" s="1">
        <f t="shared" si="4"/>
        <v>7</v>
      </c>
      <c r="V50" s="1">
        <f t="shared" si="4"/>
        <v>7.5</v>
      </c>
      <c r="W50" s="12">
        <f t="shared" si="4"/>
        <v>8</v>
      </c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</row>
    <row r="51" spans="1:46" ht="15.75" thickBot="1" x14ac:dyDescent="0.3">
      <c r="A51" s="1"/>
      <c r="B51" s="11" t="s">
        <v>61</v>
      </c>
      <c r="C51" s="1"/>
      <c r="D51" s="24">
        <v>4</v>
      </c>
      <c r="E51" s="1"/>
      <c r="F51" s="13" t="s">
        <v>47</v>
      </c>
      <c r="G51" s="14">
        <v>1</v>
      </c>
      <c r="H51" s="42">
        <v>0.983525100255774</v>
      </c>
      <c r="I51" s="42">
        <v>0.96640255854947044</v>
      </c>
      <c r="J51" s="42">
        <v>0.95281549162235912</v>
      </c>
      <c r="K51" s="42">
        <v>0.93946812259648538</v>
      </c>
      <c r="L51" s="42"/>
      <c r="M51" s="42"/>
      <c r="N51" s="42"/>
      <c r="O51" s="42"/>
      <c r="P51" s="42"/>
      <c r="Q51" s="42"/>
      <c r="R51" s="42"/>
      <c r="S51" s="42"/>
      <c r="T51" s="42"/>
      <c r="U51" s="42"/>
      <c r="V51" s="42"/>
      <c r="W51" s="25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</row>
    <row r="52" spans="1:46" x14ac:dyDescent="0.25">
      <c r="A52" s="1"/>
      <c r="B52" s="11" t="s">
        <v>56</v>
      </c>
      <c r="C52" s="1" t="s">
        <v>7</v>
      </c>
      <c r="D52" s="22">
        <v>3.56E-2</v>
      </c>
      <c r="E52" s="1"/>
      <c r="F52" s="8" t="s">
        <v>23</v>
      </c>
      <c r="G52" s="9"/>
      <c r="H52" s="9">
        <f>IF(H49&lt;=$D$51, $D$53*$D$50*$D$52, 0)</f>
        <v>1.78</v>
      </c>
      <c r="I52" s="9">
        <f t="shared" ref="I52:W52" si="5">IF(I49&lt;=$D$51, $D$53*$D$50*$D$52, 0)</f>
        <v>1.78</v>
      </c>
      <c r="J52" s="9">
        <f t="shared" si="5"/>
        <v>1.78</v>
      </c>
      <c r="K52" s="9">
        <f t="shared" si="5"/>
        <v>1.78</v>
      </c>
      <c r="L52" s="9">
        <f t="shared" si="5"/>
        <v>0</v>
      </c>
      <c r="M52" s="9">
        <f t="shared" si="5"/>
        <v>0</v>
      </c>
      <c r="N52" s="9">
        <f t="shared" si="5"/>
        <v>0</v>
      </c>
      <c r="O52" s="9">
        <f t="shared" si="5"/>
        <v>0</v>
      </c>
      <c r="P52" s="9">
        <f t="shared" si="5"/>
        <v>0</v>
      </c>
      <c r="Q52" s="9">
        <f t="shared" si="5"/>
        <v>0</v>
      </c>
      <c r="R52" s="9">
        <f t="shared" si="5"/>
        <v>0</v>
      </c>
      <c r="S52" s="9">
        <f t="shared" si="5"/>
        <v>0</v>
      </c>
      <c r="T52" s="9">
        <f t="shared" si="5"/>
        <v>0</v>
      </c>
      <c r="U52" s="9">
        <f t="shared" si="5"/>
        <v>0</v>
      </c>
      <c r="V52" s="9">
        <f t="shared" si="5"/>
        <v>0</v>
      </c>
      <c r="W52" s="10">
        <f t="shared" si="5"/>
        <v>0</v>
      </c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</row>
    <row r="53" spans="1:46" ht="15.75" thickBot="1" x14ac:dyDescent="0.3">
      <c r="A53" s="1"/>
      <c r="B53" s="13" t="s">
        <v>58</v>
      </c>
      <c r="C53" s="14" t="s">
        <v>5</v>
      </c>
      <c r="D53" s="25">
        <v>100</v>
      </c>
      <c r="E53" s="1"/>
      <c r="F53" s="11" t="s">
        <v>24</v>
      </c>
      <c r="G53" s="1"/>
      <c r="H53" s="1">
        <f>IF(H49=$D$51, $D$53, 0)</f>
        <v>0</v>
      </c>
      <c r="I53" s="1">
        <f t="shared" ref="I53:W53" si="6">IF(I49=$D$51, $D$53, 0)</f>
        <v>0</v>
      </c>
      <c r="J53" s="1">
        <f t="shared" si="6"/>
        <v>0</v>
      </c>
      <c r="K53" s="1">
        <f t="shared" si="6"/>
        <v>100</v>
      </c>
      <c r="L53" s="1">
        <f t="shared" si="6"/>
        <v>0</v>
      </c>
      <c r="M53" s="1">
        <f t="shared" si="6"/>
        <v>0</v>
      </c>
      <c r="N53" s="1">
        <f t="shared" si="6"/>
        <v>0</v>
      </c>
      <c r="O53" s="1">
        <f t="shared" si="6"/>
        <v>0</v>
      </c>
      <c r="P53" s="1">
        <f t="shared" si="6"/>
        <v>0</v>
      </c>
      <c r="Q53" s="1">
        <f t="shared" si="6"/>
        <v>0</v>
      </c>
      <c r="R53" s="1">
        <f t="shared" si="6"/>
        <v>0</v>
      </c>
      <c r="S53" s="1">
        <f t="shared" si="6"/>
        <v>0</v>
      </c>
      <c r="T53" s="1">
        <f t="shared" si="6"/>
        <v>0</v>
      </c>
      <c r="U53" s="1">
        <f t="shared" si="6"/>
        <v>0</v>
      </c>
      <c r="V53" s="1">
        <f t="shared" si="6"/>
        <v>0</v>
      </c>
      <c r="W53" s="12">
        <f t="shared" si="6"/>
        <v>0</v>
      </c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</row>
    <row r="54" spans="1:46" ht="15.75" thickBot="1" x14ac:dyDescent="0.3">
      <c r="A54" s="1"/>
      <c r="B54" s="1"/>
      <c r="C54" s="1"/>
      <c r="D54" s="1"/>
      <c r="E54" s="1"/>
      <c r="F54" s="13" t="s">
        <v>28</v>
      </c>
      <c r="G54" s="14"/>
      <c r="H54" s="14">
        <f>H52+H53</f>
        <v>1.78</v>
      </c>
      <c r="I54" s="14">
        <f t="shared" ref="I54:W54" si="7">I52+I53</f>
        <v>1.78</v>
      </c>
      <c r="J54" s="14">
        <f t="shared" si="7"/>
        <v>1.78</v>
      </c>
      <c r="K54" s="14">
        <f t="shared" si="7"/>
        <v>101.78</v>
      </c>
      <c r="L54" s="14">
        <f t="shared" si="7"/>
        <v>0</v>
      </c>
      <c r="M54" s="14">
        <f t="shared" si="7"/>
        <v>0</v>
      </c>
      <c r="N54" s="14">
        <f t="shared" si="7"/>
        <v>0</v>
      </c>
      <c r="O54" s="14">
        <f t="shared" si="7"/>
        <v>0</v>
      </c>
      <c r="P54" s="14">
        <f t="shared" si="7"/>
        <v>0</v>
      </c>
      <c r="Q54" s="14">
        <f t="shared" si="7"/>
        <v>0</v>
      </c>
      <c r="R54" s="14">
        <f t="shared" si="7"/>
        <v>0</v>
      </c>
      <c r="S54" s="14">
        <f t="shared" si="7"/>
        <v>0</v>
      </c>
      <c r="T54" s="14">
        <f t="shared" si="7"/>
        <v>0</v>
      </c>
      <c r="U54" s="14">
        <f t="shared" si="7"/>
        <v>0</v>
      </c>
      <c r="V54" s="14">
        <f t="shared" si="7"/>
        <v>0</v>
      </c>
      <c r="W54" s="26">
        <f t="shared" si="7"/>
        <v>0</v>
      </c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</row>
    <row r="55" spans="1:46" ht="15.75" thickBot="1" x14ac:dyDescent="0.3">
      <c r="A55" s="1"/>
      <c r="B55" s="1"/>
      <c r="C55" s="1"/>
      <c r="D55" s="1"/>
      <c r="E55" s="1"/>
      <c r="F55" s="43" t="s">
        <v>60</v>
      </c>
      <c r="G55" s="44"/>
      <c r="H55" s="44">
        <f>H54*H51</f>
        <v>1.7506746784552778</v>
      </c>
      <c r="I55" s="44">
        <f t="shared" ref="I55:W55" si="8">I54*I51</f>
        <v>1.7201965542180575</v>
      </c>
      <c r="J55" s="44">
        <f t="shared" si="8"/>
        <v>1.6960115750877993</v>
      </c>
      <c r="K55" s="44">
        <f t="shared" si="8"/>
        <v>95.619065517870283</v>
      </c>
      <c r="L55" s="44">
        <f t="shared" si="8"/>
        <v>0</v>
      </c>
      <c r="M55" s="44">
        <f t="shared" si="8"/>
        <v>0</v>
      </c>
      <c r="N55" s="44">
        <f t="shared" si="8"/>
        <v>0</v>
      </c>
      <c r="O55" s="44">
        <f t="shared" si="8"/>
        <v>0</v>
      </c>
      <c r="P55" s="44">
        <f t="shared" si="8"/>
        <v>0</v>
      </c>
      <c r="Q55" s="44">
        <f t="shared" si="8"/>
        <v>0</v>
      </c>
      <c r="R55" s="44">
        <f t="shared" si="8"/>
        <v>0</v>
      </c>
      <c r="S55" s="44">
        <f t="shared" si="8"/>
        <v>0</v>
      </c>
      <c r="T55" s="44">
        <f t="shared" si="8"/>
        <v>0</v>
      </c>
      <c r="U55" s="44">
        <f t="shared" si="8"/>
        <v>0</v>
      </c>
      <c r="V55" s="44">
        <f t="shared" si="8"/>
        <v>0</v>
      </c>
      <c r="W55" s="47">
        <f t="shared" si="8"/>
        <v>0</v>
      </c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</row>
    <row r="56" spans="1:46" ht="15.75" thickBot="1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</row>
    <row r="57" spans="1:46" ht="15.75" thickBot="1" x14ac:dyDescent="0.3">
      <c r="A57" s="1"/>
      <c r="B57" s="1"/>
      <c r="C57" s="1"/>
      <c r="D57" s="1"/>
      <c r="E57" s="1"/>
      <c r="F57" s="43" t="s">
        <v>59</v>
      </c>
      <c r="G57" s="44"/>
      <c r="H57" s="64">
        <f>SUM(H55:W55)</f>
        <v>100.78594832563142</v>
      </c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</row>
    <row r="58" spans="1:46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</row>
    <row r="59" spans="1:46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</row>
    <row r="60" spans="1:46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</row>
    <row r="61" spans="1:46" ht="18" thickBot="1" x14ac:dyDescent="0.35">
      <c r="A61" s="1"/>
      <c r="B61" s="147" t="s">
        <v>108</v>
      </c>
      <c r="C61" s="147"/>
      <c r="D61" s="147"/>
      <c r="E61" s="147"/>
      <c r="F61" s="147"/>
      <c r="G61" s="147"/>
      <c r="H61" s="147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</row>
    <row r="62" spans="1:46" ht="16.5" thickTop="1" thickBot="1" x14ac:dyDescent="0.3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</row>
    <row r="63" spans="1:46" ht="15.75" thickBot="1" x14ac:dyDescent="0.3">
      <c r="A63" s="1"/>
      <c r="B63" s="1" t="s">
        <v>3</v>
      </c>
      <c r="C63" s="1"/>
      <c r="D63" s="1"/>
      <c r="E63" s="1"/>
      <c r="F63" s="107" t="s">
        <v>123</v>
      </c>
      <c r="G63" s="108" t="s">
        <v>124</v>
      </c>
      <c r="H63" s="108" t="s">
        <v>125</v>
      </c>
      <c r="I63" s="108" t="s">
        <v>109</v>
      </c>
      <c r="J63" s="109" t="s">
        <v>126</v>
      </c>
      <c r="K63" s="1"/>
      <c r="L63" s="1" t="s">
        <v>111</v>
      </c>
      <c r="M63" s="1"/>
      <c r="N63" s="1" t="s">
        <v>113</v>
      </c>
      <c r="O63" s="1"/>
      <c r="P63" s="1"/>
      <c r="Q63" s="1"/>
      <c r="R63" s="1"/>
      <c r="T63" s="1"/>
      <c r="U63" s="1" t="s">
        <v>115</v>
      </c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</row>
    <row r="64" spans="1:46" x14ac:dyDescent="0.25">
      <c r="A64" s="1"/>
      <c r="B64" s="8" t="s">
        <v>8</v>
      </c>
      <c r="C64" s="9" t="s">
        <v>9</v>
      </c>
      <c r="D64" s="41">
        <v>2</v>
      </c>
      <c r="E64" s="1"/>
      <c r="F64" s="5">
        <v>1</v>
      </c>
      <c r="G64" s="18">
        <v>99.072800000000001</v>
      </c>
      <c r="H64" s="105">
        <v>2.1999999999999999E-2</v>
      </c>
      <c r="I64" s="18">
        <v>100</v>
      </c>
      <c r="J64" s="24">
        <v>1</v>
      </c>
      <c r="K64" s="1"/>
      <c r="L64" s="95">
        <f>G64</f>
        <v>99.072800000000001</v>
      </c>
      <c r="M64" s="1"/>
      <c r="N64" s="98">
        <f>IF(AND(N$69&lt;=$D$66, $F64&lt;=$D$67),IF(N$69=$D$66,  $H64*$I64*$D$65 + $I64, $H64*$I64*$D$65), 0)</f>
        <v>1.0999999999999999</v>
      </c>
      <c r="O64" s="99">
        <f t="shared" ref="O64:R68" si="9">IF(AND(O$69&lt;=$D$66, $F64&lt;=$D$67),IF(O$69=$D$66,  $H64*$I64*$D$65 + $I64, $H64*$I64*$D$65), 0)</f>
        <v>101.1</v>
      </c>
      <c r="P64" s="99">
        <f t="shared" si="9"/>
        <v>0</v>
      </c>
      <c r="Q64" s="99">
        <f t="shared" si="9"/>
        <v>0</v>
      </c>
      <c r="R64" s="21">
        <f t="shared" si="9"/>
        <v>0</v>
      </c>
      <c r="S64" s="110">
        <v>1</v>
      </c>
      <c r="T64" s="1"/>
      <c r="U64" s="102" t="s">
        <v>118</v>
      </c>
      <c r="V64" s="1"/>
      <c r="W64" s="1"/>
      <c r="X64" s="102">
        <v>0.98529810526313744</v>
      </c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</row>
    <row r="65" spans="1:46" x14ac:dyDescent="0.25">
      <c r="A65" s="1"/>
      <c r="B65" s="11" t="s">
        <v>20</v>
      </c>
      <c r="C65" s="15" t="s">
        <v>11</v>
      </c>
      <c r="D65" s="6">
        <f>1/D64</f>
        <v>0.5</v>
      </c>
      <c r="E65" s="1"/>
      <c r="F65" s="11">
        <v>2</v>
      </c>
      <c r="G65" s="18">
        <v>50.000599999999999</v>
      </c>
      <c r="H65" s="105">
        <v>3.15E-2</v>
      </c>
      <c r="I65" s="18">
        <v>50</v>
      </c>
      <c r="J65" s="24">
        <v>1</v>
      </c>
      <c r="K65" s="1"/>
      <c r="L65" s="96">
        <f>G65</f>
        <v>50.000599999999999</v>
      </c>
      <c r="M65" s="1"/>
      <c r="N65" s="100">
        <f t="shared" ref="N65:N68" si="10">IF(AND(N$69&lt;=$D$66, $F65&lt;=$D$67),IF(N$69=$D$66,  $H65*$I65*$D$65 + $I65, $H65*$I65*$D$65), 0)</f>
        <v>0.78749999999999998</v>
      </c>
      <c r="O65" s="18">
        <f t="shared" si="9"/>
        <v>50.787500000000001</v>
      </c>
      <c r="P65" s="18">
        <f t="shared" si="9"/>
        <v>0</v>
      </c>
      <c r="Q65" s="18">
        <f t="shared" si="9"/>
        <v>0</v>
      </c>
      <c r="R65" s="24">
        <f t="shared" si="9"/>
        <v>0</v>
      </c>
      <c r="S65" s="110">
        <v>2</v>
      </c>
      <c r="T65" s="1"/>
      <c r="U65" s="103" t="s">
        <v>119</v>
      </c>
      <c r="V65" s="1"/>
      <c r="W65" s="1"/>
      <c r="X65" s="103">
        <v>0.96922821052631647</v>
      </c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</row>
    <row r="66" spans="1:46" x14ac:dyDescent="0.25">
      <c r="A66" s="1"/>
      <c r="B66" s="11" t="s">
        <v>127</v>
      </c>
      <c r="D66" s="24">
        <v>2</v>
      </c>
      <c r="E66" s="1"/>
      <c r="F66" s="11">
        <v>3</v>
      </c>
      <c r="G66" s="18">
        <v>0</v>
      </c>
      <c r="H66" s="105">
        <v>0</v>
      </c>
      <c r="I66" s="18">
        <v>0</v>
      </c>
      <c r="J66" s="24">
        <v>0</v>
      </c>
      <c r="K66" s="1"/>
      <c r="L66" s="96">
        <f>G66</f>
        <v>0</v>
      </c>
      <c r="M66" s="69" t="s">
        <v>112</v>
      </c>
      <c r="N66" s="100">
        <f t="shared" si="10"/>
        <v>0</v>
      </c>
      <c r="O66" s="18">
        <f t="shared" si="9"/>
        <v>0</v>
      </c>
      <c r="P66" s="18">
        <f t="shared" si="9"/>
        <v>0</v>
      </c>
      <c r="Q66" s="18">
        <f t="shared" si="9"/>
        <v>0</v>
      </c>
      <c r="R66" s="24">
        <f t="shared" si="9"/>
        <v>0</v>
      </c>
      <c r="S66" s="110">
        <v>3</v>
      </c>
      <c r="T66" s="69" t="s">
        <v>114</v>
      </c>
      <c r="U66" s="103" t="s">
        <v>120</v>
      </c>
      <c r="V66" s="29" t="s">
        <v>116</v>
      </c>
      <c r="W66" s="29" t="s">
        <v>117</v>
      </c>
      <c r="X66" s="103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</row>
    <row r="67" spans="1:46" ht="15.75" thickBot="1" x14ac:dyDescent="0.3">
      <c r="A67" s="1"/>
      <c r="B67" s="13" t="s">
        <v>110</v>
      </c>
      <c r="C67" s="14"/>
      <c r="D67" s="25">
        <v>2</v>
      </c>
      <c r="E67" s="1"/>
      <c r="F67" s="11">
        <v>4</v>
      </c>
      <c r="G67" s="18">
        <v>0</v>
      </c>
      <c r="H67" s="105">
        <v>0</v>
      </c>
      <c r="I67" s="18">
        <v>0</v>
      </c>
      <c r="J67" s="24">
        <v>0</v>
      </c>
      <c r="K67" s="1"/>
      <c r="L67" s="96">
        <f>G67</f>
        <v>0</v>
      </c>
      <c r="M67" s="1"/>
      <c r="N67" s="100">
        <f t="shared" si="10"/>
        <v>0</v>
      </c>
      <c r="O67" s="18">
        <f t="shared" si="9"/>
        <v>0</v>
      </c>
      <c r="P67" s="18">
        <f t="shared" si="9"/>
        <v>0</v>
      </c>
      <c r="Q67" s="18">
        <f t="shared" si="9"/>
        <v>0</v>
      </c>
      <c r="R67" s="24">
        <f t="shared" si="9"/>
        <v>0</v>
      </c>
      <c r="S67" s="110">
        <v>4</v>
      </c>
      <c r="T67" s="1"/>
      <c r="U67" s="103" t="s">
        <v>121</v>
      </c>
      <c r="V67" s="1"/>
      <c r="W67" s="1"/>
      <c r="X67" s="103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</row>
    <row r="68" spans="1:46" ht="15.75" thickBot="1" x14ac:dyDescent="0.3">
      <c r="A68" s="1"/>
      <c r="C68" s="1"/>
      <c r="D68" s="1"/>
      <c r="E68" s="1"/>
      <c r="F68" s="13">
        <v>5</v>
      </c>
      <c r="G68" s="42">
        <v>0</v>
      </c>
      <c r="H68" s="106">
        <v>0</v>
      </c>
      <c r="I68" s="42">
        <v>0</v>
      </c>
      <c r="J68" s="25">
        <v>0</v>
      </c>
      <c r="K68" s="1"/>
      <c r="L68" s="97">
        <f>G68</f>
        <v>0</v>
      </c>
      <c r="M68" s="1"/>
      <c r="N68" s="101">
        <f t="shared" si="10"/>
        <v>0</v>
      </c>
      <c r="O68" s="42">
        <f t="shared" si="9"/>
        <v>0</v>
      </c>
      <c r="P68" s="42">
        <f t="shared" si="9"/>
        <v>0</v>
      </c>
      <c r="Q68" s="42">
        <f t="shared" si="9"/>
        <v>0</v>
      </c>
      <c r="R68" s="25">
        <f t="shared" si="9"/>
        <v>0</v>
      </c>
      <c r="S68" s="110">
        <v>5</v>
      </c>
      <c r="T68" s="1"/>
      <c r="U68" s="104" t="s">
        <v>122</v>
      </c>
      <c r="V68" s="1"/>
      <c r="W68" s="1"/>
      <c r="X68" s="104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</row>
    <row r="69" spans="1:46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10">
        <v>1</v>
      </c>
      <c r="O69" s="110">
        <v>2</v>
      </c>
      <c r="P69" s="110">
        <v>3</v>
      </c>
      <c r="Q69" s="110">
        <v>4</v>
      </c>
      <c r="R69" s="110">
        <v>5</v>
      </c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</row>
    <row r="70" spans="1:46" ht="15.75" thickBot="1" x14ac:dyDescent="0.3">
      <c r="A70" s="1"/>
      <c r="B70" s="1"/>
      <c r="C70" s="1"/>
      <c r="D70" s="1"/>
      <c r="E70" s="1"/>
      <c r="F70" s="1" t="s">
        <v>129</v>
      </c>
      <c r="G70" s="1"/>
      <c r="H70" s="1"/>
      <c r="I70" s="1"/>
      <c r="J70" s="1"/>
      <c r="K70" s="1"/>
      <c r="L70" s="1"/>
      <c r="M70" s="1"/>
      <c r="N70" s="1" t="s">
        <v>128</v>
      </c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</row>
    <row r="71" spans="1:46" x14ac:dyDescent="0.25">
      <c r="A71" s="1"/>
      <c r="B71" s="1"/>
      <c r="C71" s="1"/>
      <c r="D71" s="1"/>
      <c r="E71" s="1"/>
      <c r="F71" s="1" t="s">
        <v>130</v>
      </c>
      <c r="G71" s="1"/>
      <c r="H71" s="1"/>
      <c r="I71" s="1"/>
      <c r="J71" s="1"/>
      <c r="K71" s="1"/>
      <c r="L71" s="1"/>
      <c r="M71" s="1"/>
      <c r="N71" s="111">
        <v>-2.1384210526315797</v>
      </c>
      <c r="O71" s="112">
        <v>4.2568421052631589</v>
      </c>
      <c r="P71" s="112"/>
      <c r="Q71" s="112"/>
      <c r="R71" s="113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</row>
    <row r="72" spans="1:46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14">
        <v>3.3157894736842115E-2</v>
      </c>
      <c r="O72" s="115">
        <v>-4.631578947368422E-2</v>
      </c>
      <c r="P72" s="115"/>
      <c r="Q72" s="115"/>
      <c r="R72" s="116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</row>
    <row r="73" spans="1:46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14"/>
      <c r="O73" s="115"/>
      <c r="P73" s="115"/>
      <c r="Q73" s="115"/>
      <c r="R73" s="116"/>
      <c r="S73" s="1"/>
      <c r="T73" s="1"/>
      <c r="U73" s="1"/>
      <c r="V73" s="1"/>
      <c r="W73" s="29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</row>
    <row r="74" spans="1:46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14"/>
      <c r="O74" s="115"/>
      <c r="P74" s="115"/>
      <c r="Q74" s="115"/>
      <c r="R74" s="116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</row>
    <row r="75" spans="1:46" ht="15.75" thickBo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17"/>
      <c r="O75" s="118"/>
      <c r="P75" s="118"/>
      <c r="Q75" s="118"/>
      <c r="R75" s="119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</row>
    <row r="76" spans="1:46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</row>
    <row r="77" spans="1:46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</row>
    <row r="78" spans="1:46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</row>
    <row r="79" spans="1:46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</row>
    <row r="80" spans="1:46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</row>
    <row r="81" spans="1:46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</row>
    <row r="82" spans="1:46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</row>
    <row r="83" spans="1:46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</row>
    <row r="84" spans="1:46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</row>
    <row r="85" spans="1:46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</row>
    <row r="86" spans="1:46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</row>
    <row r="87" spans="1:46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46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46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46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46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46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46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46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46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46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x14ac:dyDescent="0.2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x14ac:dyDescent="0.2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x14ac:dyDescent="0.2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x14ac:dyDescent="0.2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x14ac:dyDescent="0.2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x14ac:dyDescent="0.25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x14ac:dyDescent="0.2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x14ac:dyDescent="0.2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x14ac:dyDescent="0.2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x14ac:dyDescent="0.2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x14ac:dyDescent="0.2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x14ac:dyDescent="0.2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x14ac:dyDescent="0.2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x14ac:dyDescent="0.2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x14ac:dyDescent="0.25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x14ac:dyDescent="0.2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x14ac:dyDescent="0.2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x14ac:dyDescent="0.25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x14ac:dyDescent="0.2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x14ac:dyDescent="0.2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x14ac:dyDescent="0.2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x14ac:dyDescent="0.25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x14ac:dyDescent="0.25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x14ac:dyDescent="0.2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x14ac:dyDescent="0.2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x14ac:dyDescent="0.2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x14ac:dyDescent="0.2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x14ac:dyDescent="0.2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x14ac:dyDescent="0.2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x14ac:dyDescent="0.2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x14ac:dyDescent="0.2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x14ac:dyDescent="0.2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x14ac:dyDescent="0.2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x14ac:dyDescent="0.2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x14ac:dyDescent="0.2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x14ac:dyDescent="0.2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x14ac:dyDescent="0.2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x14ac:dyDescent="0.2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x14ac:dyDescent="0.2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x14ac:dyDescent="0.2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x14ac:dyDescent="0.2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x14ac:dyDescent="0.2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x14ac:dyDescent="0.2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x14ac:dyDescent="0.2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x14ac:dyDescent="0.2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x14ac:dyDescent="0.2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x14ac:dyDescent="0.2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x14ac:dyDescent="0.2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x14ac:dyDescent="0.2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x14ac:dyDescent="0.2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x14ac:dyDescent="0.2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x14ac:dyDescent="0.2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x14ac:dyDescent="0.2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x14ac:dyDescent="0.2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x14ac:dyDescent="0.2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x14ac:dyDescent="0.2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x14ac:dyDescent="0.2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x14ac:dyDescent="0.2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x14ac:dyDescent="0.2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x14ac:dyDescent="0.2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x14ac:dyDescent="0.2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x14ac:dyDescent="0.2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x14ac:dyDescent="0.2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x14ac:dyDescent="0.2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x14ac:dyDescent="0.2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x14ac:dyDescent="0.2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x14ac:dyDescent="0.2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x14ac:dyDescent="0.2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x14ac:dyDescent="0.25">
      <c r="A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x14ac:dyDescent="0.25">
      <c r="A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x14ac:dyDescent="0.25">
      <c r="A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x14ac:dyDescent="0.25">
      <c r="A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</sheetData>
  <mergeCells count="6">
    <mergeCell ref="B61:H61"/>
    <mergeCell ref="B33:H33"/>
    <mergeCell ref="B45:H45"/>
    <mergeCell ref="B5:D5"/>
    <mergeCell ref="F8:G8"/>
    <mergeCell ref="F11:G11"/>
  </mergeCells>
  <conditionalFormatting sqref="F64:F68 L64:L68 N64:R68">
    <cfRule type="expression" dxfId="40" priority="25">
      <formula>$F64 &gt; $D$67</formula>
    </cfRule>
    <cfRule type="expression" dxfId="39" priority="26">
      <formula>$F64 &lt;= $D$67</formula>
    </cfRule>
  </conditionalFormatting>
  <conditionalFormatting sqref="F64:F68 X64:X68">
    <cfRule type="expression" dxfId="38" priority="4">
      <formula>$F64&gt;$D$67</formula>
    </cfRule>
    <cfRule type="expression" dxfId="37" priority="5">
      <formula>$F64 &lt;= $D$67</formula>
    </cfRule>
  </conditionalFormatting>
  <conditionalFormatting sqref="F64:J68">
    <cfRule type="expression" dxfId="36" priority="23">
      <formula>$F64 &gt; $D$67</formula>
    </cfRule>
    <cfRule type="expression" dxfId="35" priority="24">
      <formula>$F64&lt;=$D$67</formula>
    </cfRule>
  </conditionalFormatting>
  <conditionalFormatting sqref="N64:R68">
    <cfRule type="expression" dxfId="34" priority="6">
      <formula>N$69 &gt; $D$66</formula>
    </cfRule>
  </conditionalFormatting>
  <dataValidations count="2">
    <dataValidation type="list" allowBlank="1" showInputMessage="1" showErrorMessage="1" sqref="D21 D38 D49 D64" xr:uid="{3C6B4766-2E96-4404-970B-5807C3EDB4AF}">
      <formula1>"1,2,4,Continuous"</formula1>
    </dataValidation>
    <dataValidation type="list" allowBlank="1" showInputMessage="1" showErrorMessage="1" sqref="X69" xr:uid="{2E72FF22-E34D-4FCD-A5CB-2B26DCE8AE9F}">
      <formula1>"1,2,4,Cont"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059F87-AFA5-47CE-9558-56FF04E99F14}">
  <sheetPr codeName="Sheet7"/>
  <dimension ref="B1:W256"/>
  <sheetViews>
    <sheetView workbookViewId="0">
      <selection activeCell="D14" sqref="D14"/>
    </sheetView>
  </sheetViews>
  <sheetFormatPr defaultRowHeight="15" x14ac:dyDescent="0.25"/>
  <cols>
    <col min="2" max="2" width="21.140625" bestFit="1" customWidth="1"/>
  </cols>
  <sheetData>
    <row r="1" spans="2:23" s="1" customFormat="1" x14ac:dyDescent="0.25"/>
    <row r="2" spans="2:23" s="1" customFormat="1" ht="20.25" thickBot="1" x14ac:dyDescent="0.35">
      <c r="B2" s="153" t="s">
        <v>132</v>
      </c>
      <c r="C2" s="153"/>
      <c r="D2" s="153"/>
      <c r="E2" s="153"/>
    </row>
    <row r="3" spans="2:23" s="1" customFormat="1" ht="15.75" thickTop="1" x14ac:dyDescent="0.25"/>
    <row r="4" spans="2:23" s="1" customFormat="1" x14ac:dyDescent="0.25"/>
    <row r="5" spans="2:23" s="1" customFormat="1" ht="15.75" thickBot="1" x14ac:dyDescent="0.3">
      <c r="B5" s="1" t="s">
        <v>43</v>
      </c>
    </row>
    <row r="6" spans="2:23" s="1" customFormat="1" x14ac:dyDescent="0.25">
      <c r="B6" s="8" t="s">
        <v>49</v>
      </c>
      <c r="C6" s="9" t="s">
        <v>9</v>
      </c>
      <c r="D6" s="48">
        <v>2</v>
      </c>
      <c r="F6" s="49" t="s">
        <v>21</v>
      </c>
      <c r="G6" s="50">
        <v>0</v>
      </c>
      <c r="H6" s="50">
        <v>1</v>
      </c>
      <c r="I6" s="50">
        <v>2</v>
      </c>
      <c r="J6" s="50">
        <v>3</v>
      </c>
      <c r="K6" s="50">
        <v>4</v>
      </c>
      <c r="L6" s="50">
        <v>5</v>
      </c>
      <c r="M6" s="50">
        <v>6</v>
      </c>
      <c r="N6" s="50">
        <v>7</v>
      </c>
      <c r="O6" s="50">
        <v>8</v>
      </c>
      <c r="P6" s="50">
        <v>9</v>
      </c>
      <c r="Q6" s="50">
        <v>10</v>
      </c>
      <c r="R6" s="50">
        <v>11</v>
      </c>
      <c r="S6" s="50">
        <v>12</v>
      </c>
      <c r="T6" s="50">
        <v>13</v>
      </c>
      <c r="U6" s="50">
        <v>14</v>
      </c>
      <c r="V6" s="50">
        <v>15</v>
      </c>
      <c r="W6" s="51">
        <v>16</v>
      </c>
    </row>
    <row r="7" spans="2:23" s="1" customFormat="1" x14ac:dyDescent="0.25">
      <c r="B7" s="11" t="s">
        <v>10</v>
      </c>
      <c r="C7" s="15" t="s">
        <v>11</v>
      </c>
      <c r="D7" s="6">
        <f>1/D6</f>
        <v>0.5</v>
      </c>
      <c r="F7" s="52" t="s">
        <v>22</v>
      </c>
      <c r="G7" s="53">
        <f>$D$8*G6</f>
        <v>0</v>
      </c>
      <c r="H7" s="53">
        <f>H6*$D$7</f>
        <v>0.5</v>
      </c>
      <c r="I7" s="53">
        <f t="shared" ref="I7:W7" si="0">I6*$D$7</f>
        <v>1</v>
      </c>
      <c r="J7" s="53">
        <f t="shared" si="0"/>
        <v>1.5</v>
      </c>
      <c r="K7" s="53">
        <f t="shared" si="0"/>
        <v>2</v>
      </c>
      <c r="L7" s="53">
        <f t="shared" si="0"/>
        <v>2.5</v>
      </c>
      <c r="M7" s="53">
        <f t="shared" si="0"/>
        <v>3</v>
      </c>
      <c r="N7" s="53">
        <f t="shared" si="0"/>
        <v>3.5</v>
      </c>
      <c r="O7" s="53">
        <f t="shared" si="0"/>
        <v>4</v>
      </c>
      <c r="P7" s="53">
        <f t="shared" si="0"/>
        <v>4.5</v>
      </c>
      <c r="Q7" s="53">
        <f t="shared" si="0"/>
        <v>5</v>
      </c>
      <c r="R7" s="53">
        <f t="shared" si="0"/>
        <v>5.5</v>
      </c>
      <c r="S7" s="53">
        <f t="shared" si="0"/>
        <v>6</v>
      </c>
      <c r="T7" s="53">
        <f t="shared" si="0"/>
        <v>6.5</v>
      </c>
      <c r="U7" s="53">
        <f t="shared" si="0"/>
        <v>7</v>
      </c>
      <c r="V7" s="53">
        <f t="shared" si="0"/>
        <v>7.5</v>
      </c>
      <c r="W7" s="54">
        <f t="shared" si="0"/>
        <v>8</v>
      </c>
    </row>
    <row r="8" spans="2:23" s="1" customFormat="1" ht="15.75" thickBot="1" x14ac:dyDescent="0.3">
      <c r="B8" s="11" t="s">
        <v>63</v>
      </c>
      <c r="C8" s="1" t="s">
        <v>50</v>
      </c>
      <c r="D8" s="24">
        <v>0</v>
      </c>
      <c r="F8" s="55" t="s">
        <v>47</v>
      </c>
      <c r="G8" s="56">
        <v>1</v>
      </c>
      <c r="H8" s="42">
        <v>0.983525100255774</v>
      </c>
      <c r="I8" s="42">
        <v>0.96640255854947044</v>
      </c>
      <c r="J8" s="42">
        <v>0.95281549162235912</v>
      </c>
      <c r="K8" s="42">
        <v>0.93946812259648538</v>
      </c>
      <c r="L8" s="42"/>
      <c r="M8" s="42"/>
      <c r="N8" s="42"/>
      <c r="O8" s="42"/>
      <c r="P8" s="42"/>
      <c r="Q8" s="42"/>
      <c r="R8" s="42"/>
      <c r="S8" s="42"/>
      <c r="T8" s="42"/>
      <c r="U8" s="42"/>
      <c r="V8" s="42"/>
      <c r="W8" s="25"/>
    </row>
    <row r="9" spans="2:23" s="1" customFormat="1" ht="15.75" thickBot="1" x14ac:dyDescent="0.3">
      <c r="B9" s="11" t="s">
        <v>138</v>
      </c>
      <c r="C9" s="1" t="s">
        <v>7</v>
      </c>
      <c r="D9" s="129">
        <v>3.56E-2</v>
      </c>
    </row>
    <row r="10" spans="2:23" s="1" customFormat="1" ht="15.75" thickBot="1" x14ac:dyDescent="0.3">
      <c r="B10" s="13" t="s">
        <v>19</v>
      </c>
      <c r="C10" s="14" t="s">
        <v>5</v>
      </c>
      <c r="D10" s="25">
        <v>100</v>
      </c>
      <c r="F10" s="59" t="s">
        <v>64</v>
      </c>
      <c r="G10" s="60">
        <v>1</v>
      </c>
      <c r="H10" s="60">
        <f>IF(H8=0, 0, (G8*$D$8+H8*(360*$D$7-$D$8))/(360*$D$7))</f>
        <v>0.983525100255774</v>
      </c>
      <c r="I10" s="60">
        <f t="shared" ref="I10:W10" si="1">IF(I8=0, 0, (H8*$D$8+I8*(360*$D$7-$D$8))/(360*$D$7))</f>
        <v>0.96640255854947044</v>
      </c>
      <c r="J10" s="60">
        <f t="shared" si="1"/>
        <v>0.95281549162235912</v>
      </c>
      <c r="K10" s="60">
        <f t="shared" si="1"/>
        <v>0.93946812259648538</v>
      </c>
      <c r="L10" s="60">
        <f t="shared" si="1"/>
        <v>0</v>
      </c>
      <c r="M10" s="60">
        <f t="shared" si="1"/>
        <v>0</v>
      </c>
      <c r="N10" s="60">
        <f t="shared" si="1"/>
        <v>0</v>
      </c>
      <c r="O10" s="60">
        <f t="shared" si="1"/>
        <v>0</v>
      </c>
      <c r="P10" s="60">
        <f t="shared" si="1"/>
        <v>0</v>
      </c>
      <c r="Q10" s="60">
        <f t="shared" si="1"/>
        <v>0</v>
      </c>
      <c r="R10" s="60">
        <f t="shared" si="1"/>
        <v>0</v>
      </c>
      <c r="S10" s="60">
        <f t="shared" si="1"/>
        <v>0</v>
      </c>
      <c r="T10" s="60">
        <f t="shared" si="1"/>
        <v>0</v>
      </c>
      <c r="U10" s="60">
        <f t="shared" si="1"/>
        <v>0</v>
      </c>
      <c r="V10" s="60">
        <f t="shared" si="1"/>
        <v>0</v>
      </c>
      <c r="W10" s="60">
        <f t="shared" si="1"/>
        <v>0</v>
      </c>
    </row>
    <row r="11" spans="2:23" s="1" customFormat="1" ht="15.75" thickBot="1" x14ac:dyDescent="0.3"/>
    <row r="12" spans="2:23" s="1" customFormat="1" ht="15.75" thickBot="1" x14ac:dyDescent="0.3">
      <c r="B12" s="1" t="s">
        <v>139</v>
      </c>
      <c r="F12" s="59" t="s">
        <v>133</v>
      </c>
      <c r="G12" s="120"/>
      <c r="H12" s="126">
        <v>1.78</v>
      </c>
      <c r="I12" s="126">
        <v>1.78</v>
      </c>
      <c r="J12" s="126">
        <v>1.78</v>
      </c>
      <c r="K12" s="126">
        <v>101.78</v>
      </c>
      <c r="L12" s="126"/>
      <c r="M12" s="126"/>
      <c r="N12" s="126"/>
      <c r="O12" s="126"/>
      <c r="P12" s="126"/>
      <c r="Q12" s="126"/>
      <c r="R12" s="126"/>
      <c r="S12" s="126"/>
      <c r="T12" s="126"/>
      <c r="U12" s="126"/>
      <c r="V12" s="126"/>
      <c r="W12" s="127"/>
    </row>
    <row r="13" spans="2:23" s="1" customFormat="1" ht="15.75" thickBot="1" x14ac:dyDescent="0.3">
      <c r="B13" s="3" t="s">
        <v>140</v>
      </c>
    </row>
    <row r="14" spans="2:23" s="1" customFormat="1" x14ac:dyDescent="0.25">
      <c r="F14" s="128" t="s">
        <v>131</v>
      </c>
      <c r="H14" s="139">
        <f>SUMPRODUCT(H12:W12, H10:W10)</f>
        <v>100.78594832563142</v>
      </c>
    </row>
    <row r="15" spans="2:23" s="1" customFormat="1" x14ac:dyDescent="0.25">
      <c r="F15" s="128" t="s">
        <v>136</v>
      </c>
      <c r="H15" s="140" cm="1">
        <f t="array" ref="H15">SUMPRODUCT(H10:W10, H12:W12, H7:W7-($D$8/360)) / $H$14</f>
        <v>1.9484629112913361</v>
      </c>
    </row>
    <row r="16" spans="2:23" s="1" customFormat="1" ht="15.75" thickBot="1" x14ac:dyDescent="0.3">
      <c r="F16" s="128" t="s">
        <v>137</v>
      </c>
      <c r="H16" s="141" cm="1">
        <f t="array" ref="H16">SUMPRODUCT(H10:W10, H12:W12, (H7:W7-($D$8/360))^2) / $H$14</f>
        <v>3.8542094388417012</v>
      </c>
    </row>
    <row r="17" s="1" customFormat="1" x14ac:dyDescent="0.25"/>
    <row r="18" s="1" customFormat="1" x14ac:dyDescent="0.25"/>
    <row r="19" s="1" customFormat="1" x14ac:dyDescent="0.25"/>
    <row r="20" s="1" customFormat="1" x14ac:dyDescent="0.25"/>
    <row r="21" s="1" customFormat="1" x14ac:dyDescent="0.25"/>
    <row r="22" s="1" customFormat="1" x14ac:dyDescent="0.25"/>
    <row r="23" s="1" customFormat="1" x14ac:dyDescent="0.25"/>
    <row r="24" s="1" customFormat="1" x14ac:dyDescent="0.25"/>
    <row r="25" s="1" customFormat="1" x14ac:dyDescent="0.25"/>
    <row r="26" s="1" customFormat="1" x14ac:dyDescent="0.25"/>
    <row r="27" s="1" customFormat="1" x14ac:dyDescent="0.25"/>
    <row r="28" s="1" customFormat="1" x14ac:dyDescent="0.25"/>
    <row r="29" s="1" customFormat="1" x14ac:dyDescent="0.25"/>
    <row r="30" s="1" customFormat="1" x14ac:dyDescent="0.25"/>
    <row r="31" s="1" customFormat="1" x14ac:dyDescent="0.25"/>
    <row r="32" s="1" customFormat="1" x14ac:dyDescent="0.25"/>
    <row r="33" s="1" customFormat="1" x14ac:dyDescent="0.25"/>
    <row r="34" s="1" customFormat="1" x14ac:dyDescent="0.25"/>
    <row r="35" s="1" customFormat="1" x14ac:dyDescent="0.25"/>
    <row r="36" s="1" customFormat="1" x14ac:dyDescent="0.25"/>
    <row r="37" s="1" customFormat="1" x14ac:dyDescent="0.25"/>
    <row r="38" s="1" customFormat="1" x14ac:dyDescent="0.25"/>
    <row r="39" s="1" customFormat="1" x14ac:dyDescent="0.25"/>
    <row r="40" s="1" customFormat="1" x14ac:dyDescent="0.25"/>
    <row r="41" s="1" customFormat="1" x14ac:dyDescent="0.25"/>
    <row r="42" s="1" customFormat="1" x14ac:dyDescent="0.25"/>
    <row r="43" s="1" customFormat="1" x14ac:dyDescent="0.25"/>
    <row r="44" s="1" customFormat="1" x14ac:dyDescent="0.25"/>
    <row r="45" s="1" customFormat="1" x14ac:dyDescent="0.25"/>
    <row r="46" s="1" customFormat="1" x14ac:dyDescent="0.25"/>
    <row r="47" s="1" customFormat="1" x14ac:dyDescent="0.25"/>
    <row r="48" s="1" customFormat="1" x14ac:dyDescent="0.25"/>
    <row r="49" s="1" customFormat="1" x14ac:dyDescent="0.25"/>
    <row r="50" s="1" customFormat="1" x14ac:dyDescent="0.25"/>
    <row r="51" s="1" customFormat="1" x14ac:dyDescent="0.25"/>
    <row r="52" s="1" customFormat="1" x14ac:dyDescent="0.25"/>
    <row r="53" s="1" customFormat="1" x14ac:dyDescent="0.25"/>
    <row r="54" s="1" customFormat="1" x14ac:dyDescent="0.25"/>
    <row r="55" s="1" customFormat="1" x14ac:dyDescent="0.25"/>
    <row r="56" s="1" customFormat="1" x14ac:dyDescent="0.25"/>
    <row r="57" s="1" customFormat="1" x14ac:dyDescent="0.25"/>
    <row r="58" s="1" customFormat="1" x14ac:dyDescent="0.25"/>
    <row r="59" s="1" customFormat="1" x14ac:dyDescent="0.25"/>
    <row r="60" s="1" customFormat="1" x14ac:dyDescent="0.25"/>
    <row r="61" s="1" customFormat="1" x14ac:dyDescent="0.25"/>
    <row r="62" s="1" customFormat="1" x14ac:dyDescent="0.25"/>
    <row r="63" s="1" customFormat="1" x14ac:dyDescent="0.25"/>
    <row r="64" s="1" customFormat="1" x14ac:dyDescent="0.25"/>
    <row r="65" s="1" customFormat="1" x14ac:dyDescent="0.25"/>
    <row r="66" s="1" customFormat="1" x14ac:dyDescent="0.25"/>
    <row r="67" s="1" customFormat="1" x14ac:dyDescent="0.25"/>
    <row r="68" s="1" customFormat="1" x14ac:dyDescent="0.25"/>
    <row r="69" s="1" customFormat="1" x14ac:dyDescent="0.25"/>
    <row r="70" s="1" customFormat="1" x14ac:dyDescent="0.25"/>
    <row r="71" s="1" customFormat="1" x14ac:dyDescent="0.25"/>
    <row r="72" s="1" customFormat="1" x14ac:dyDescent="0.25"/>
    <row r="73" s="1" customFormat="1" x14ac:dyDescent="0.25"/>
    <row r="74" s="1" customFormat="1" x14ac:dyDescent="0.25"/>
    <row r="75" s="1" customFormat="1" x14ac:dyDescent="0.25"/>
    <row r="76" s="1" customFormat="1" x14ac:dyDescent="0.25"/>
    <row r="77" s="1" customFormat="1" x14ac:dyDescent="0.25"/>
    <row r="78" s="1" customFormat="1" x14ac:dyDescent="0.25"/>
    <row r="79" s="1" customFormat="1" x14ac:dyDescent="0.25"/>
    <row r="80" s="1" customFormat="1" x14ac:dyDescent="0.25"/>
    <row r="81" s="1" customFormat="1" x14ac:dyDescent="0.25"/>
    <row r="82" s="1" customFormat="1" x14ac:dyDescent="0.25"/>
    <row r="83" s="1" customFormat="1" x14ac:dyDescent="0.25"/>
    <row r="84" s="1" customFormat="1" x14ac:dyDescent="0.25"/>
    <row r="85" s="1" customFormat="1" x14ac:dyDescent="0.25"/>
    <row r="86" s="1" customFormat="1" x14ac:dyDescent="0.25"/>
    <row r="87" s="1" customFormat="1" x14ac:dyDescent="0.25"/>
    <row r="88" s="1" customFormat="1" x14ac:dyDescent="0.25"/>
    <row r="89" s="1" customFormat="1" x14ac:dyDescent="0.25"/>
    <row r="90" s="1" customFormat="1" x14ac:dyDescent="0.25"/>
    <row r="91" s="1" customFormat="1" x14ac:dyDescent="0.25"/>
    <row r="92" s="1" customFormat="1" x14ac:dyDescent="0.25"/>
    <row r="93" s="1" customFormat="1" x14ac:dyDescent="0.25"/>
    <row r="94" s="1" customFormat="1" x14ac:dyDescent="0.25"/>
    <row r="95" s="1" customFormat="1" x14ac:dyDescent="0.25"/>
    <row r="96" s="1" customFormat="1" x14ac:dyDescent="0.25"/>
    <row r="97" s="1" customFormat="1" x14ac:dyDescent="0.25"/>
    <row r="98" s="1" customFormat="1" x14ac:dyDescent="0.25"/>
    <row r="99" s="1" customFormat="1" x14ac:dyDescent="0.25"/>
    <row r="100" s="1" customFormat="1" x14ac:dyDescent="0.25"/>
    <row r="101" s="1" customFormat="1" x14ac:dyDescent="0.25"/>
    <row r="102" s="1" customFormat="1" x14ac:dyDescent="0.25"/>
    <row r="103" s="1" customFormat="1" x14ac:dyDescent="0.25"/>
    <row r="104" s="1" customFormat="1" x14ac:dyDescent="0.25"/>
    <row r="105" s="1" customFormat="1" x14ac:dyDescent="0.25"/>
    <row r="106" s="1" customFormat="1" x14ac:dyDescent="0.25"/>
    <row r="107" s="1" customFormat="1" x14ac:dyDescent="0.25"/>
    <row r="108" s="1" customFormat="1" x14ac:dyDescent="0.25"/>
    <row r="109" s="1" customFormat="1" x14ac:dyDescent="0.25"/>
    <row r="110" s="1" customFormat="1" x14ac:dyDescent="0.25"/>
    <row r="111" s="1" customFormat="1" x14ac:dyDescent="0.25"/>
    <row r="112" s="1" customFormat="1" x14ac:dyDescent="0.25"/>
    <row r="113" s="1" customFormat="1" x14ac:dyDescent="0.25"/>
    <row r="114" s="1" customFormat="1" x14ac:dyDescent="0.25"/>
    <row r="115" s="1" customFormat="1" x14ac:dyDescent="0.25"/>
    <row r="116" s="1" customFormat="1" x14ac:dyDescent="0.25"/>
    <row r="117" s="1" customFormat="1" x14ac:dyDescent="0.25"/>
    <row r="118" s="1" customFormat="1" x14ac:dyDescent="0.25"/>
    <row r="119" s="1" customFormat="1" x14ac:dyDescent="0.25"/>
    <row r="120" s="1" customFormat="1" x14ac:dyDescent="0.25"/>
    <row r="121" s="1" customFormat="1" x14ac:dyDescent="0.25"/>
    <row r="122" s="1" customFormat="1" x14ac:dyDescent="0.25"/>
    <row r="123" s="1" customFormat="1" x14ac:dyDescent="0.25"/>
    <row r="124" s="1" customFormat="1" x14ac:dyDescent="0.25"/>
    <row r="125" s="1" customFormat="1" x14ac:dyDescent="0.25"/>
    <row r="126" s="1" customFormat="1" x14ac:dyDescent="0.25"/>
    <row r="127" s="1" customFormat="1" x14ac:dyDescent="0.25"/>
    <row r="128" s="1" customFormat="1" x14ac:dyDescent="0.25"/>
    <row r="129" s="1" customFormat="1" x14ac:dyDescent="0.25"/>
    <row r="130" s="1" customFormat="1" x14ac:dyDescent="0.25"/>
    <row r="131" s="1" customFormat="1" x14ac:dyDescent="0.25"/>
    <row r="132" s="1" customFormat="1" x14ac:dyDescent="0.25"/>
    <row r="133" s="1" customFormat="1" x14ac:dyDescent="0.25"/>
    <row r="134" s="1" customFormat="1" x14ac:dyDescent="0.25"/>
    <row r="135" s="1" customFormat="1" x14ac:dyDescent="0.25"/>
    <row r="136" s="1" customFormat="1" x14ac:dyDescent="0.25"/>
    <row r="137" s="1" customFormat="1" x14ac:dyDescent="0.25"/>
    <row r="138" s="1" customFormat="1" x14ac:dyDescent="0.25"/>
    <row r="139" s="1" customFormat="1" x14ac:dyDescent="0.25"/>
    <row r="140" s="1" customFormat="1" x14ac:dyDescent="0.25"/>
    <row r="141" s="1" customFormat="1" x14ac:dyDescent="0.25"/>
    <row r="142" s="1" customFormat="1" x14ac:dyDescent="0.25"/>
    <row r="143" s="1" customFormat="1" x14ac:dyDescent="0.25"/>
    <row r="144" s="1" customFormat="1" x14ac:dyDescent="0.25"/>
    <row r="145" s="1" customFormat="1" x14ac:dyDescent="0.25"/>
    <row r="146" s="1" customFormat="1" x14ac:dyDescent="0.25"/>
    <row r="147" s="1" customFormat="1" x14ac:dyDescent="0.25"/>
    <row r="148" s="1" customFormat="1" x14ac:dyDescent="0.25"/>
    <row r="149" s="1" customFormat="1" x14ac:dyDescent="0.25"/>
    <row r="150" s="1" customFormat="1" x14ac:dyDescent="0.25"/>
    <row r="151" s="1" customFormat="1" x14ac:dyDescent="0.25"/>
    <row r="152" s="1" customFormat="1" x14ac:dyDescent="0.25"/>
    <row r="153" s="1" customFormat="1" x14ac:dyDescent="0.25"/>
    <row r="154" s="1" customFormat="1" x14ac:dyDescent="0.25"/>
    <row r="155" s="1" customFormat="1" x14ac:dyDescent="0.25"/>
    <row r="156" s="1" customFormat="1" x14ac:dyDescent="0.25"/>
    <row r="157" s="1" customFormat="1" x14ac:dyDescent="0.25"/>
    <row r="158" s="1" customFormat="1" x14ac:dyDescent="0.25"/>
    <row r="159" s="1" customFormat="1" x14ac:dyDescent="0.25"/>
    <row r="160" s="1" customFormat="1" x14ac:dyDescent="0.25"/>
    <row r="161" s="1" customFormat="1" x14ac:dyDescent="0.25"/>
    <row r="162" s="1" customFormat="1" x14ac:dyDescent="0.25"/>
    <row r="163" s="1" customFormat="1" x14ac:dyDescent="0.25"/>
    <row r="164" s="1" customFormat="1" x14ac:dyDescent="0.25"/>
    <row r="165" s="1" customFormat="1" x14ac:dyDescent="0.25"/>
    <row r="166" s="1" customFormat="1" x14ac:dyDescent="0.25"/>
    <row r="167" s="1" customFormat="1" x14ac:dyDescent="0.25"/>
    <row r="168" s="1" customFormat="1" x14ac:dyDescent="0.25"/>
    <row r="169" s="1" customFormat="1" x14ac:dyDescent="0.25"/>
    <row r="170" s="1" customFormat="1" x14ac:dyDescent="0.25"/>
    <row r="171" s="1" customFormat="1" x14ac:dyDescent="0.25"/>
    <row r="172" s="1" customFormat="1" x14ac:dyDescent="0.25"/>
    <row r="173" s="1" customFormat="1" x14ac:dyDescent="0.25"/>
    <row r="174" s="1" customFormat="1" x14ac:dyDescent="0.25"/>
    <row r="175" s="1" customFormat="1" x14ac:dyDescent="0.25"/>
    <row r="176" s="1" customFormat="1" x14ac:dyDescent="0.25"/>
    <row r="177" s="1" customFormat="1" x14ac:dyDescent="0.25"/>
    <row r="178" s="1" customFormat="1" x14ac:dyDescent="0.25"/>
    <row r="179" s="1" customFormat="1" x14ac:dyDescent="0.25"/>
    <row r="180" s="1" customFormat="1" x14ac:dyDescent="0.25"/>
    <row r="181" s="1" customFormat="1" x14ac:dyDescent="0.25"/>
    <row r="182" s="1" customFormat="1" x14ac:dyDescent="0.25"/>
    <row r="183" s="1" customFormat="1" x14ac:dyDescent="0.25"/>
    <row r="184" s="1" customFormat="1" x14ac:dyDescent="0.25"/>
    <row r="185" s="1" customFormat="1" x14ac:dyDescent="0.25"/>
    <row r="186" s="1" customFormat="1" x14ac:dyDescent="0.25"/>
    <row r="187" s="1" customFormat="1" x14ac:dyDescent="0.25"/>
    <row r="188" s="1" customFormat="1" x14ac:dyDescent="0.25"/>
    <row r="189" s="1" customFormat="1" x14ac:dyDescent="0.25"/>
    <row r="190" s="1" customFormat="1" x14ac:dyDescent="0.25"/>
    <row r="191" s="1" customFormat="1" x14ac:dyDescent="0.25"/>
    <row r="192" s="1" customFormat="1" x14ac:dyDescent="0.25"/>
    <row r="193" s="1" customFormat="1" x14ac:dyDescent="0.25"/>
    <row r="194" s="1" customFormat="1" x14ac:dyDescent="0.25"/>
    <row r="195" s="1" customFormat="1" x14ac:dyDescent="0.25"/>
    <row r="196" s="1" customFormat="1" x14ac:dyDescent="0.25"/>
    <row r="197" s="1" customFormat="1" x14ac:dyDescent="0.25"/>
    <row r="198" s="1" customFormat="1" x14ac:dyDescent="0.25"/>
    <row r="199" s="1" customFormat="1" x14ac:dyDescent="0.25"/>
    <row r="200" s="1" customFormat="1" x14ac:dyDescent="0.25"/>
    <row r="201" s="1" customFormat="1" x14ac:dyDescent="0.25"/>
    <row r="202" s="1" customFormat="1" x14ac:dyDescent="0.25"/>
    <row r="203" s="1" customFormat="1" x14ac:dyDescent="0.25"/>
    <row r="204" s="1" customFormat="1" x14ac:dyDescent="0.25"/>
    <row r="205" s="1" customFormat="1" x14ac:dyDescent="0.25"/>
    <row r="206" s="1" customFormat="1" x14ac:dyDescent="0.25"/>
    <row r="207" s="1" customFormat="1" x14ac:dyDescent="0.25"/>
    <row r="208" s="1" customFormat="1" x14ac:dyDescent="0.25"/>
    <row r="209" s="1" customFormat="1" x14ac:dyDescent="0.25"/>
    <row r="210" s="1" customFormat="1" x14ac:dyDescent="0.25"/>
    <row r="211" s="1" customFormat="1" x14ac:dyDescent="0.25"/>
    <row r="212" s="1" customFormat="1" x14ac:dyDescent="0.25"/>
    <row r="213" s="1" customFormat="1" x14ac:dyDescent="0.25"/>
    <row r="214" s="1" customFormat="1" x14ac:dyDescent="0.25"/>
    <row r="215" s="1" customFormat="1" x14ac:dyDescent="0.25"/>
    <row r="216" s="1" customFormat="1" x14ac:dyDescent="0.25"/>
    <row r="217" s="1" customFormat="1" x14ac:dyDescent="0.25"/>
    <row r="218" s="1" customFormat="1" x14ac:dyDescent="0.25"/>
    <row r="219" s="1" customFormat="1" x14ac:dyDescent="0.25"/>
    <row r="220" s="1" customFormat="1" x14ac:dyDescent="0.25"/>
    <row r="221" s="1" customFormat="1" x14ac:dyDescent="0.25"/>
    <row r="222" s="1" customFormat="1" x14ac:dyDescent="0.25"/>
    <row r="223" s="1" customFormat="1" x14ac:dyDescent="0.25"/>
    <row r="224" s="1" customFormat="1" x14ac:dyDescent="0.25"/>
    <row r="225" s="1" customFormat="1" x14ac:dyDescent="0.25"/>
    <row r="226" s="1" customFormat="1" x14ac:dyDescent="0.25"/>
    <row r="227" s="1" customFormat="1" x14ac:dyDescent="0.25"/>
    <row r="228" s="1" customFormat="1" x14ac:dyDescent="0.25"/>
    <row r="229" s="1" customFormat="1" x14ac:dyDescent="0.25"/>
    <row r="230" s="1" customFormat="1" x14ac:dyDescent="0.25"/>
    <row r="231" s="1" customFormat="1" x14ac:dyDescent="0.25"/>
    <row r="232" s="1" customFormat="1" x14ac:dyDescent="0.25"/>
    <row r="233" s="1" customFormat="1" x14ac:dyDescent="0.25"/>
    <row r="234" s="1" customFormat="1" x14ac:dyDescent="0.25"/>
    <row r="235" s="1" customFormat="1" x14ac:dyDescent="0.25"/>
    <row r="236" s="1" customFormat="1" x14ac:dyDescent="0.25"/>
    <row r="237" s="1" customFormat="1" x14ac:dyDescent="0.25"/>
    <row r="238" s="1" customFormat="1" x14ac:dyDescent="0.25"/>
    <row r="239" s="1" customFormat="1" x14ac:dyDescent="0.25"/>
    <row r="240" s="1" customFormat="1" x14ac:dyDescent="0.25"/>
    <row r="241" s="1" customFormat="1" x14ac:dyDescent="0.25"/>
    <row r="242" s="1" customFormat="1" x14ac:dyDescent="0.25"/>
    <row r="243" s="1" customFormat="1" x14ac:dyDescent="0.25"/>
    <row r="244" s="1" customFormat="1" x14ac:dyDescent="0.25"/>
    <row r="245" s="1" customFormat="1" x14ac:dyDescent="0.25"/>
    <row r="246" s="1" customFormat="1" x14ac:dyDescent="0.25"/>
    <row r="247" s="1" customFormat="1" x14ac:dyDescent="0.25"/>
    <row r="248" s="1" customFormat="1" x14ac:dyDescent="0.25"/>
    <row r="249" s="1" customFormat="1" x14ac:dyDescent="0.25"/>
    <row r="250" s="1" customFormat="1" x14ac:dyDescent="0.25"/>
    <row r="251" s="1" customFormat="1" x14ac:dyDescent="0.25"/>
    <row r="252" s="1" customFormat="1" x14ac:dyDescent="0.25"/>
    <row r="253" s="1" customFormat="1" x14ac:dyDescent="0.25"/>
    <row r="254" s="1" customFormat="1" x14ac:dyDescent="0.25"/>
    <row r="255" s="1" customFormat="1" x14ac:dyDescent="0.25"/>
    <row r="256" s="1" customFormat="1" x14ac:dyDescent="0.25"/>
  </sheetData>
  <mergeCells count="1">
    <mergeCell ref="B2:E2"/>
  </mergeCells>
  <hyperlinks>
    <hyperlink ref="B13" location="'Bond pricing'!B45" display="Bond pricing" xr:uid="{0D98254A-219B-468B-A198-E1787663D10B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04B1CC-A810-43EF-BD32-D524E5A2EAFD}">
  <sheetPr codeName="Sheet4"/>
  <dimension ref="B2:AR72"/>
  <sheetViews>
    <sheetView zoomScale="95" zoomScaleNormal="95" workbookViewId="0">
      <selection activeCell="C33" sqref="C33"/>
    </sheetView>
  </sheetViews>
  <sheetFormatPr defaultRowHeight="15" x14ac:dyDescent="0.25"/>
  <cols>
    <col min="1" max="1" width="9.140625" style="1"/>
    <col min="2" max="2" width="20.7109375" style="1" bestFit="1" customWidth="1"/>
    <col min="3" max="5" width="9.140625" style="1"/>
    <col min="6" max="6" width="22.140625" style="1" bestFit="1" customWidth="1"/>
    <col min="7" max="25" width="9.140625" style="1"/>
    <col min="26" max="26" width="11.85546875" style="1" bestFit="1" customWidth="1"/>
    <col min="27" max="16384" width="9.140625" style="1"/>
  </cols>
  <sheetData>
    <row r="2" spans="2:7" ht="20.25" thickBot="1" x14ac:dyDescent="0.35">
      <c r="B2" s="153" t="s">
        <v>77</v>
      </c>
      <c r="C2" s="153"/>
      <c r="D2" s="153"/>
    </row>
    <row r="3" spans="2:7" ht="15.75" thickTop="1" x14ac:dyDescent="0.25"/>
    <row r="5" spans="2:7" ht="18" thickBot="1" x14ac:dyDescent="0.35">
      <c r="B5" s="147" t="s">
        <v>81</v>
      </c>
      <c r="C5" s="147"/>
      <c r="D5" s="147"/>
      <c r="E5" s="147"/>
    </row>
    <row r="6" spans="2:7" ht="15.75" thickTop="1" x14ac:dyDescent="0.25"/>
    <row r="7" spans="2:7" ht="15.75" thickBot="1" x14ac:dyDescent="0.3">
      <c r="B7" s="1" t="s">
        <v>3</v>
      </c>
      <c r="F7" s="1" t="s">
        <v>15</v>
      </c>
    </row>
    <row r="8" spans="2:7" ht="15.75" thickBot="1" x14ac:dyDescent="0.3">
      <c r="B8" s="8" t="s">
        <v>88</v>
      </c>
      <c r="C8" s="9" t="s">
        <v>89</v>
      </c>
      <c r="D8" s="16">
        <v>12.15</v>
      </c>
      <c r="F8" s="43" t="s">
        <v>86</v>
      </c>
      <c r="G8" s="47">
        <f>D8*(1+D11)^(D9-D10)</f>
        <v>12.23425190509416</v>
      </c>
    </row>
    <row r="9" spans="2:7" x14ac:dyDescent="0.25">
      <c r="B9" s="11" t="s">
        <v>82</v>
      </c>
      <c r="C9" s="1" t="s">
        <v>83</v>
      </c>
      <c r="D9" s="66">
        <f>125/360</f>
        <v>0.34722222222222221</v>
      </c>
    </row>
    <row r="10" spans="2:7" x14ac:dyDescent="0.25">
      <c r="B10" s="11" t="s">
        <v>87</v>
      </c>
      <c r="C10" s="1" t="s">
        <v>50</v>
      </c>
      <c r="D10" s="68">
        <f>40/360</f>
        <v>0.1111111111111111</v>
      </c>
    </row>
    <row r="11" spans="2:7" ht="15.75" thickBot="1" x14ac:dyDescent="0.3">
      <c r="B11" s="13" t="s">
        <v>84</v>
      </c>
      <c r="C11" s="14" t="s">
        <v>85</v>
      </c>
      <c r="D11" s="67">
        <v>2.9700000000000001E-2</v>
      </c>
    </row>
    <row r="14" spans="2:7" ht="18" thickBot="1" x14ac:dyDescent="0.35">
      <c r="B14" s="147" t="s">
        <v>148</v>
      </c>
      <c r="C14" s="147"/>
      <c r="D14" s="147"/>
      <c r="E14" s="147"/>
      <c r="F14" s="147"/>
      <c r="G14" s="147"/>
    </row>
    <row r="15" spans="2:7" ht="15.75" thickTop="1" x14ac:dyDescent="0.25"/>
    <row r="16" spans="2:7" ht="15.75" thickBot="1" x14ac:dyDescent="0.3">
      <c r="B16" s="1" t="s">
        <v>3</v>
      </c>
      <c r="F16" s="1" t="s">
        <v>15</v>
      </c>
    </row>
    <row r="17" spans="2:44" x14ac:dyDescent="0.25">
      <c r="B17" s="8" t="s">
        <v>19</v>
      </c>
      <c r="C17" s="9" t="s">
        <v>5</v>
      </c>
      <c r="D17" s="21">
        <v>100</v>
      </c>
      <c r="F17" s="8" t="s">
        <v>21</v>
      </c>
      <c r="G17" s="9">
        <v>0</v>
      </c>
      <c r="H17" s="9">
        <v>1</v>
      </c>
      <c r="I17" s="9">
        <v>2</v>
      </c>
      <c r="J17" s="9">
        <v>3</v>
      </c>
      <c r="K17" s="9">
        <v>4</v>
      </c>
      <c r="L17" s="9">
        <v>5</v>
      </c>
      <c r="M17" s="9">
        <v>6</v>
      </c>
      <c r="N17" s="9">
        <v>7</v>
      </c>
      <c r="O17" s="9">
        <v>8</v>
      </c>
      <c r="P17" s="9">
        <v>9</v>
      </c>
      <c r="Q17" s="9">
        <v>10</v>
      </c>
      <c r="R17" s="9">
        <v>11</v>
      </c>
      <c r="S17" s="9">
        <v>12</v>
      </c>
      <c r="T17" s="9">
        <v>13</v>
      </c>
      <c r="U17" s="9">
        <v>14</v>
      </c>
      <c r="V17" s="9">
        <v>15</v>
      </c>
      <c r="W17" s="10">
        <v>16</v>
      </c>
    </row>
    <row r="18" spans="2:44" x14ac:dyDescent="0.25">
      <c r="B18" s="11" t="s">
        <v>8</v>
      </c>
      <c r="C18" s="1" t="s">
        <v>9</v>
      </c>
      <c r="D18" s="23">
        <v>2</v>
      </c>
      <c r="F18" s="11" t="s">
        <v>22</v>
      </c>
      <c r="H18" s="1" cm="1">
        <f t="array" ref="H18">IF(TYPE($D$19)=1, $D$19*H17, Cont)</f>
        <v>0.5</v>
      </c>
      <c r="I18" s="1" cm="1">
        <f t="array" ref="I18">IF(TYPE($D$19)=1, $D$19*I17, Cont)</f>
        <v>1</v>
      </c>
      <c r="J18" s="1" cm="1">
        <f t="array" ref="J18">IF(TYPE($D$19)=1, $D$19*J17, Cont)</f>
        <v>1.5</v>
      </c>
      <c r="K18" s="1" cm="1">
        <f t="array" ref="K18">IF(TYPE($D$19)=1, $D$19*K17, Cont)</f>
        <v>2</v>
      </c>
      <c r="L18" s="1" cm="1">
        <f t="array" ref="L18">IF(TYPE($D$19)=1, $D$19*L17, Cont)</f>
        <v>2.5</v>
      </c>
      <c r="M18" s="1" cm="1">
        <f t="array" ref="M18">IF(TYPE($D$19)=1, $D$19*M17, Cont)</f>
        <v>3</v>
      </c>
      <c r="N18" s="1" cm="1">
        <f t="array" ref="N18">IF(TYPE($D$19)=1, $D$19*N17, Cont)</f>
        <v>3.5</v>
      </c>
      <c r="O18" s="1" cm="1">
        <f t="array" ref="O18">IF(TYPE($D$19)=1, $D$19*O17, Cont)</f>
        <v>4</v>
      </c>
      <c r="P18" s="1" cm="1">
        <f t="array" ref="P18">IF(TYPE($D$19)=1, $D$19*P17, Cont)</f>
        <v>4.5</v>
      </c>
      <c r="Q18" s="1" cm="1">
        <f t="array" ref="Q18">IF(TYPE($D$19)=1, $D$19*Q17, Cont)</f>
        <v>5</v>
      </c>
      <c r="R18" s="1" cm="1">
        <f t="array" ref="R18">IF(TYPE($D$19)=1, $D$19*R17, Cont)</f>
        <v>5.5</v>
      </c>
      <c r="S18" s="1" cm="1">
        <f t="array" ref="S18">IF(TYPE($D$19)=1, $D$19*S17, Cont)</f>
        <v>6</v>
      </c>
      <c r="T18" s="1" cm="1">
        <f t="array" ref="T18">IF(TYPE($D$19)=1, $D$19*T17, Cont)</f>
        <v>6.5</v>
      </c>
      <c r="U18" s="1" cm="1">
        <f t="array" ref="U18">IF(TYPE($D$19)=1, $D$19*U17, Cont)</f>
        <v>7</v>
      </c>
      <c r="V18" s="1" cm="1">
        <f t="array" ref="V18">IF(TYPE($D$19)=1, $D$19*V17, Cont)</f>
        <v>7.5</v>
      </c>
      <c r="W18" s="12" cm="1">
        <f t="array" ref="W18">IF(TYPE($D$19)=1, $D$19*W17, Cont)</f>
        <v>8</v>
      </c>
    </row>
    <row r="19" spans="2:44" ht="15.75" thickBot="1" x14ac:dyDescent="0.3">
      <c r="B19" s="11" t="s">
        <v>20</v>
      </c>
      <c r="C19" s="15" t="s">
        <v>11</v>
      </c>
      <c r="D19" s="6">
        <f>1/D18</f>
        <v>0.5</v>
      </c>
      <c r="F19" s="13" t="s">
        <v>91</v>
      </c>
      <c r="G19" s="72">
        <v>1</v>
      </c>
      <c r="H19" s="70">
        <v>0.97643216359813645</v>
      </c>
      <c r="I19" s="70">
        <v>0.96779999999999999</v>
      </c>
      <c r="J19" s="70"/>
      <c r="K19" s="70"/>
      <c r="L19" s="70"/>
      <c r="M19" s="70"/>
      <c r="N19" s="70"/>
      <c r="O19" s="70"/>
      <c r="P19" s="70"/>
      <c r="Q19" s="70"/>
      <c r="R19" s="70"/>
      <c r="S19" s="70"/>
      <c r="T19" s="70"/>
      <c r="U19" s="70"/>
      <c r="V19" s="70"/>
      <c r="W19" s="71"/>
    </row>
    <row r="20" spans="2:44" x14ac:dyDescent="0.25">
      <c r="B20" s="11" t="s">
        <v>134</v>
      </c>
      <c r="C20" s="1" t="s">
        <v>7</v>
      </c>
      <c r="D20" s="129">
        <v>3.5499999999999997E-2</v>
      </c>
    </row>
    <row r="21" spans="2:44" ht="15.75" thickBot="1" x14ac:dyDescent="0.3">
      <c r="B21" s="13" t="s">
        <v>61</v>
      </c>
      <c r="C21" s="14"/>
      <c r="D21" s="25">
        <v>3</v>
      </c>
      <c r="F21" s="1" t="s">
        <v>99</v>
      </c>
      <c r="H21" s="18">
        <v>0</v>
      </c>
      <c r="I21" s="1" t="s">
        <v>14</v>
      </c>
      <c r="J21" s="1" t="s">
        <v>152</v>
      </c>
    </row>
    <row r="22" spans="2:44" ht="15.75" thickBot="1" x14ac:dyDescent="0.3">
      <c r="F22" s="1" t="s">
        <v>104</v>
      </c>
      <c r="H22" s="154" t="s">
        <v>100</v>
      </c>
      <c r="I22" s="154"/>
      <c r="J22" s="154"/>
    </row>
    <row r="23" spans="2:44" ht="15.75" thickBot="1" x14ac:dyDescent="0.3">
      <c r="B23" s="8" t="s">
        <v>103</v>
      </c>
      <c r="C23" s="9"/>
      <c r="D23" s="7">
        <v>0.5</v>
      </c>
      <c r="F23" s="43" t="s">
        <v>64</v>
      </c>
      <c r="G23" s="121">
        <v>1</v>
      </c>
      <c r="H23" s="121">
        <f>IF(H19&gt;0, ($H$21/360/$D$19)*G19+(($D$19-($H$21/360))/$D$19)*H19, 0)</f>
        <v>0.97643216359813645</v>
      </c>
      <c r="I23" s="121">
        <f t="shared" ref="I23:W23" si="0">IF(I19&gt;0, ($H$21/360/$D$19)*H19+(($D$19-($H$21/360))/$D$19)*I19, 0)</f>
        <v>0.96779999999999999</v>
      </c>
      <c r="J23" s="121">
        <f t="shared" si="0"/>
        <v>0</v>
      </c>
      <c r="K23" s="121">
        <f t="shared" si="0"/>
        <v>0</v>
      </c>
      <c r="L23" s="121">
        <f t="shared" si="0"/>
        <v>0</v>
      </c>
      <c r="M23" s="121">
        <f t="shared" si="0"/>
        <v>0</v>
      </c>
      <c r="N23" s="121">
        <f t="shared" si="0"/>
        <v>0</v>
      </c>
      <c r="O23" s="121">
        <f t="shared" si="0"/>
        <v>0</v>
      </c>
      <c r="P23" s="121">
        <f t="shared" si="0"/>
        <v>0</v>
      </c>
      <c r="Q23" s="121">
        <f t="shared" si="0"/>
        <v>0</v>
      </c>
      <c r="R23" s="121">
        <f t="shared" si="0"/>
        <v>0</v>
      </c>
      <c r="S23" s="121">
        <f t="shared" si="0"/>
        <v>0</v>
      </c>
      <c r="T23" s="121">
        <f t="shared" si="0"/>
        <v>0</v>
      </c>
      <c r="U23" s="121">
        <f t="shared" si="0"/>
        <v>0</v>
      </c>
      <c r="V23" s="121">
        <f t="shared" si="0"/>
        <v>0</v>
      </c>
      <c r="W23" s="142">
        <f t="shared" si="0"/>
        <v>0</v>
      </c>
    </row>
    <row r="24" spans="2:44" x14ac:dyDescent="0.25">
      <c r="B24" s="11" t="s">
        <v>93</v>
      </c>
      <c r="D24" s="24">
        <v>0.5</v>
      </c>
      <c r="G24"/>
    </row>
    <row r="25" spans="2:44" ht="15.75" thickBot="1" x14ac:dyDescent="0.3">
      <c r="B25" s="13" t="s">
        <v>94</v>
      </c>
      <c r="C25" s="14"/>
      <c r="D25" s="25">
        <v>1</v>
      </c>
    </row>
    <row r="26" spans="2:44" x14ac:dyDescent="0.25">
      <c r="F26" s="89" t="s">
        <v>92</v>
      </c>
      <c r="G26" s="9" t="s">
        <v>93</v>
      </c>
      <c r="H26" s="78">
        <v>1</v>
      </c>
      <c r="I26" s="78" cm="1">
        <f t="array" ref="I26:X26">H19:W19</f>
        <v>0.97643216359813645</v>
      </c>
      <c r="J26" s="78">
        <v>0.96779999999999999</v>
      </c>
      <c r="K26" s="78">
        <v>0</v>
      </c>
      <c r="L26" s="78">
        <v>0</v>
      </c>
      <c r="M26" s="78">
        <v>0</v>
      </c>
      <c r="N26" s="78">
        <v>0</v>
      </c>
      <c r="O26" s="78">
        <v>0</v>
      </c>
      <c r="P26" s="78">
        <v>0</v>
      </c>
      <c r="Q26" s="78">
        <v>0</v>
      </c>
      <c r="R26" s="78">
        <v>0</v>
      </c>
      <c r="S26" s="78">
        <v>0</v>
      </c>
      <c r="T26" s="78">
        <v>0</v>
      </c>
      <c r="U26" s="78">
        <v>0</v>
      </c>
      <c r="V26" s="78">
        <v>0</v>
      </c>
      <c r="W26" s="78">
        <v>0</v>
      </c>
      <c r="X26" s="79">
        <v>0</v>
      </c>
      <c r="Z26" s="89" t="s">
        <v>101</v>
      </c>
      <c r="AA26" s="9" t="s">
        <v>93</v>
      </c>
      <c r="AB26" s="78">
        <v>1</v>
      </c>
      <c r="AC26" s="78">
        <f>H23</f>
        <v>0.97643216359813645</v>
      </c>
      <c r="AD26" s="78">
        <f t="shared" ref="AD26:AR26" si="1">I23</f>
        <v>0.96779999999999999</v>
      </c>
      <c r="AE26" s="78">
        <f t="shared" si="1"/>
        <v>0</v>
      </c>
      <c r="AF26" s="78">
        <f t="shared" si="1"/>
        <v>0</v>
      </c>
      <c r="AG26" s="78">
        <f t="shared" si="1"/>
        <v>0</v>
      </c>
      <c r="AH26" s="78">
        <f t="shared" si="1"/>
        <v>0</v>
      </c>
      <c r="AI26" s="78">
        <f t="shared" si="1"/>
        <v>0</v>
      </c>
      <c r="AJ26" s="78">
        <f t="shared" si="1"/>
        <v>0</v>
      </c>
      <c r="AK26" s="78">
        <f t="shared" si="1"/>
        <v>0</v>
      </c>
      <c r="AL26" s="78">
        <f t="shared" si="1"/>
        <v>0</v>
      </c>
      <c r="AM26" s="78">
        <f t="shared" si="1"/>
        <v>0</v>
      </c>
      <c r="AN26" s="78">
        <f t="shared" si="1"/>
        <v>0</v>
      </c>
      <c r="AO26" s="78">
        <f t="shared" si="1"/>
        <v>0</v>
      </c>
      <c r="AP26" s="78">
        <f t="shared" si="1"/>
        <v>0</v>
      </c>
      <c r="AQ26" s="78">
        <f t="shared" si="1"/>
        <v>0</v>
      </c>
      <c r="AR26" s="79">
        <f t="shared" si="1"/>
        <v>0</v>
      </c>
    </row>
    <row r="27" spans="2:44" x14ac:dyDescent="0.25">
      <c r="F27" s="5" t="s">
        <v>94</v>
      </c>
      <c r="G27" s="77">
        <v>1</v>
      </c>
      <c r="H27" s="53">
        <f t="shared" ref="H27:X27" si="2">G18</f>
        <v>0</v>
      </c>
      <c r="I27" s="53">
        <f t="shared" si="2"/>
        <v>0.5</v>
      </c>
      <c r="J27" s="53">
        <f t="shared" si="2"/>
        <v>1</v>
      </c>
      <c r="K27" s="53">
        <f t="shared" si="2"/>
        <v>1.5</v>
      </c>
      <c r="L27" s="53">
        <f t="shared" si="2"/>
        <v>2</v>
      </c>
      <c r="M27" s="53">
        <f t="shared" si="2"/>
        <v>2.5</v>
      </c>
      <c r="N27" s="53">
        <f t="shared" si="2"/>
        <v>3</v>
      </c>
      <c r="O27" s="53">
        <f t="shared" si="2"/>
        <v>3.5</v>
      </c>
      <c r="P27" s="53">
        <f t="shared" si="2"/>
        <v>4</v>
      </c>
      <c r="Q27" s="53">
        <f t="shared" si="2"/>
        <v>4.5</v>
      </c>
      <c r="R27" s="53">
        <f t="shared" si="2"/>
        <v>5</v>
      </c>
      <c r="S27" s="53">
        <f t="shared" si="2"/>
        <v>5.5</v>
      </c>
      <c r="T27" s="53">
        <f t="shared" si="2"/>
        <v>6</v>
      </c>
      <c r="U27" s="53">
        <f t="shared" si="2"/>
        <v>6.5</v>
      </c>
      <c r="V27" s="53">
        <f t="shared" si="2"/>
        <v>7</v>
      </c>
      <c r="W27" s="53">
        <f t="shared" si="2"/>
        <v>7.5</v>
      </c>
      <c r="X27" s="54">
        <f t="shared" si="2"/>
        <v>8</v>
      </c>
      <c r="Z27" s="5" t="s">
        <v>94</v>
      </c>
      <c r="AA27" s="77">
        <v>1</v>
      </c>
      <c r="AB27" s="53">
        <f>AA18</f>
        <v>0</v>
      </c>
      <c r="AC27" s="53">
        <f>H18</f>
        <v>0.5</v>
      </c>
      <c r="AD27" s="53">
        <f t="shared" ref="AD27:AR27" si="3">I18</f>
        <v>1</v>
      </c>
      <c r="AE27" s="53">
        <f t="shared" si="3"/>
        <v>1.5</v>
      </c>
      <c r="AF27" s="53">
        <f t="shared" si="3"/>
        <v>2</v>
      </c>
      <c r="AG27" s="53">
        <f t="shared" si="3"/>
        <v>2.5</v>
      </c>
      <c r="AH27" s="53">
        <f t="shared" si="3"/>
        <v>3</v>
      </c>
      <c r="AI27" s="53">
        <f t="shared" si="3"/>
        <v>3.5</v>
      </c>
      <c r="AJ27" s="53">
        <f t="shared" si="3"/>
        <v>4</v>
      </c>
      <c r="AK27" s="53">
        <f t="shared" si="3"/>
        <v>4.5</v>
      </c>
      <c r="AL27" s="53">
        <f t="shared" si="3"/>
        <v>5</v>
      </c>
      <c r="AM27" s="53">
        <f t="shared" si="3"/>
        <v>5.5</v>
      </c>
      <c r="AN27" s="53">
        <f t="shared" si="3"/>
        <v>6</v>
      </c>
      <c r="AO27" s="53">
        <f t="shared" si="3"/>
        <v>6.5</v>
      </c>
      <c r="AP27" s="53">
        <f t="shared" si="3"/>
        <v>7</v>
      </c>
      <c r="AQ27" s="53">
        <f t="shared" si="3"/>
        <v>7.5</v>
      </c>
      <c r="AR27" s="54">
        <f t="shared" si="3"/>
        <v>8</v>
      </c>
    </row>
    <row r="28" spans="2:44" x14ac:dyDescent="0.25">
      <c r="F28" s="11"/>
      <c r="G28" s="77">
        <f t="array" ref="G28:G43">TRANSPOSE(H19:W19)</f>
        <v>0.97643216359813645</v>
      </c>
      <c r="H28" s="53">
        <f t="array" ref="H28:H43">TRANSPOSE($H$18:$W$18)</f>
        <v>0.5</v>
      </c>
      <c r="I28" s="83"/>
      <c r="J28" s="87"/>
      <c r="K28" s="87"/>
      <c r="L28" s="87"/>
      <c r="M28" s="87"/>
      <c r="N28" s="87"/>
      <c r="O28" s="87"/>
      <c r="P28" s="87"/>
      <c r="Q28" s="87"/>
      <c r="R28" s="87"/>
      <c r="S28" s="87"/>
      <c r="T28" s="87"/>
      <c r="U28" s="87"/>
      <c r="V28" s="87"/>
      <c r="W28" s="87"/>
      <c r="X28" s="88"/>
      <c r="Z28" s="11"/>
      <c r="AA28" s="77">
        <f t="array" ref="AA28:AA43">TRANSPOSE(H23:W23)</f>
        <v>0.97643216359813645</v>
      </c>
      <c r="AB28" s="53">
        <f t="array" ref="AB28:AB43">TRANSPOSE($H$18:$W$18)</f>
        <v>0.5</v>
      </c>
      <c r="AC28" s="83"/>
      <c r="AD28" s="87"/>
      <c r="AE28" s="87"/>
      <c r="AF28" s="87"/>
      <c r="AG28" s="87"/>
      <c r="AH28" s="87"/>
      <c r="AI28" s="87"/>
      <c r="AJ28" s="87"/>
      <c r="AK28" s="87"/>
      <c r="AL28" s="87"/>
      <c r="AM28" s="87"/>
      <c r="AN28" s="87"/>
      <c r="AO28" s="87"/>
      <c r="AP28" s="87"/>
      <c r="AQ28" s="87"/>
      <c r="AR28" s="88"/>
    </row>
    <row r="29" spans="2:44" x14ac:dyDescent="0.25">
      <c r="F29" s="5"/>
      <c r="G29" s="77">
        <v>0.96779999999999999</v>
      </c>
      <c r="H29" s="53">
        <v>1</v>
      </c>
      <c r="I29" s="81">
        <f>IF($G29&gt;0, $G29/I$26, 0)</f>
        <v>0.99115948458075465</v>
      </c>
      <c r="J29" s="84"/>
      <c r="K29" s="84"/>
      <c r="L29" s="84"/>
      <c r="M29" s="84"/>
      <c r="N29" s="84"/>
      <c r="O29" s="84"/>
      <c r="P29" s="84"/>
      <c r="Q29" s="84"/>
      <c r="R29" s="84"/>
      <c r="S29" s="84"/>
      <c r="T29" s="84"/>
      <c r="U29" s="84"/>
      <c r="V29" s="84"/>
      <c r="W29" s="84"/>
      <c r="X29" s="85"/>
      <c r="Z29" s="5"/>
      <c r="AA29" s="77">
        <v>0.96779999999999999</v>
      </c>
      <c r="AB29" s="53">
        <v>1</v>
      </c>
      <c r="AC29" s="81">
        <f>IF($AA29&gt;0, $AA29/AC$26, 0)</f>
        <v>0.99115948458075465</v>
      </c>
      <c r="AD29" s="84"/>
      <c r="AE29" s="84"/>
      <c r="AF29" s="84"/>
      <c r="AG29" s="84"/>
      <c r="AH29" s="84"/>
      <c r="AI29" s="84"/>
      <c r="AJ29" s="84"/>
      <c r="AK29" s="84"/>
      <c r="AL29" s="84"/>
      <c r="AM29" s="84"/>
      <c r="AN29" s="84"/>
      <c r="AO29" s="84"/>
      <c r="AP29" s="84"/>
      <c r="AQ29" s="84"/>
      <c r="AR29" s="85"/>
    </row>
    <row r="30" spans="2:44" x14ac:dyDescent="0.25">
      <c r="F30" s="11"/>
      <c r="G30" s="77">
        <v>0</v>
      </c>
      <c r="H30" s="53">
        <v>1.5</v>
      </c>
      <c r="I30" s="81">
        <f t="shared" ref="I30:W43" si="4">IF($G30&gt;0, $G30/I$26, 0)</f>
        <v>0</v>
      </c>
      <c r="J30" s="81">
        <f t="shared" si="4"/>
        <v>0</v>
      </c>
      <c r="K30" s="84"/>
      <c r="L30" s="84"/>
      <c r="M30" s="84"/>
      <c r="N30" s="84"/>
      <c r="O30" s="84"/>
      <c r="P30" s="84"/>
      <c r="Q30" s="84"/>
      <c r="R30" s="84"/>
      <c r="S30" s="84"/>
      <c r="T30" s="84"/>
      <c r="U30" s="84"/>
      <c r="V30" s="84"/>
      <c r="W30" s="84"/>
      <c r="X30" s="85"/>
      <c r="Z30" s="11"/>
      <c r="AA30" s="77">
        <v>0</v>
      </c>
      <c r="AB30" s="53">
        <v>1.5</v>
      </c>
      <c r="AC30" s="81">
        <f t="shared" ref="AC30:AQ43" si="5">IF($AA30&gt;0, $AA30/AC$26, 0)</f>
        <v>0</v>
      </c>
      <c r="AD30" s="81">
        <f t="shared" si="5"/>
        <v>0</v>
      </c>
      <c r="AE30" s="84"/>
      <c r="AF30" s="84"/>
      <c r="AG30" s="84"/>
      <c r="AH30" s="84"/>
      <c r="AI30" s="84"/>
      <c r="AJ30" s="84"/>
      <c r="AK30" s="84"/>
      <c r="AL30" s="84"/>
      <c r="AM30" s="84"/>
      <c r="AN30" s="84"/>
      <c r="AO30" s="84"/>
      <c r="AP30" s="84"/>
      <c r="AQ30" s="84"/>
      <c r="AR30" s="85"/>
    </row>
    <row r="31" spans="2:44" x14ac:dyDescent="0.25">
      <c r="F31" s="11"/>
      <c r="G31" s="77">
        <v>0</v>
      </c>
      <c r="H31" s="53">
        <v>2</v>
      </c>
      <c r="I31" s="81">
        <f t="shared" si="4"/>
        <v>0</v>
      </c>
      <c r="J31" s="81">
        <f t="shared" si="4"/>
        <v>0</v>
      </c>
      <c r="K31" s="81">
        <f t="shared" si="4"/>
        <v>0</v>
      </c>
      <c r="L31" s="84"/>
      <c r="M31" s="84"/>
      <c r="N31" s="84"/>
      <c r="O31" s="84"/>
      <c r="P31" s="84"/>
      <c r="Q31" s="84"/>
      <c r="R31" s="84"/>
      <c r="S31" s="84"/>
      <c r="T31" s="84"/>
      <c r="U31" s="84"/>
      <c r="V31" s="84"/>
      <c r="W31" s="84"/>
      <c r="X31" s="85"/>
      <c r="Z31" s="11"/>
      <c r="AA31" s="77">
        <v>0</v>
      </c>
      <c r="AB31" s="53">
        <v>2</v>
      </c>
      <c r="AC31" s="81">
        <f t="shared" si="5"/>
        <v>0</v>
      </c>
      <c r="AD31" s="81">
        <f t="shared" si="5"/>
        <v>0</v>
      </c>
      <c r="AE31" s="81">
        <f t="shared" si="5"/>
        <v>0</v>
      </c>
      <c r="AF31" s="84"/>
      <c r="AG31" s="84"/>
      <c r="AH31" s="84"/>
      <c r="AI31" s="84"/>
      <c r="AJ31" s="84"/>
      <c r="AK31" s="84"/>
      <c r="AL31" s="84"/>
      <c r="AM31" s="84"/>
      <c r="AN31" s="84"/>
      <c r="AO31" s="84"/>
      <c r="AP31" s="84"/>
      <c r="AQ31" s="84"/>
      <c r="AR31" s="85"/>
    </row>
    <row r="32" spans="2:44" x14ac:dyDescent="0.25">
      <c r="F32" s="11"/>
      <c r="G32" s="77">
        <v>0</v>
      </c>
      <c r="H32" s="53">
        <v>2.5</v>
      </c>
      <c r="I32" s="81">
        <f t="shared" si="4"/>
        <v>0</v>
      </c>
      <c r="J32" s="81">
        <f t="shared" si="4"/>
        <v>0</v>
      </c>
      <c r="K32" s="81">
        <f t="shared" si="4"/>
        <v>0</v>
      </c>
      <c r="L32" s="81">
        <f t="shared" si="4"/>
        <v>0</v>
      </c>
      <c r="M32" s="84"/>
      <c r="N32" s="84"/>
      <c r="O32" s="84"/>
      <c r="P32" s="84"/>
      <c r="Q32" s="84"/>
      <c r="R32" s="84"/>
      <c r="S32" s="84"/>
      <c r="T32" s="84"/>
      <c r="U32" s="84"/>
      <c r="V32" s="84"/>
      <c r="W32" s="84"/>
      <c r="X32" s="85"/>
      <c r="Z32" s="11"/>
      <c r="AA32" s="77">
        <v>0</v>
      </c>
      <c r="AB32" s="53">
        <v>2.5</v>
      </c>
      <c r="AC32" s="81">
        <f t="shared" si="5"/>
        <v>0</v>
      </c>
      <c r="AD32" s="81">
        <f t="shared" si="5"/>
        <v>0</v>
      </c>
      <c r="AE32" s="81">
        <f t="shared" si="5"/>
        <v>0</v>
      </c>
      <c r="AF32" s="81">
        <f t="shared" si="5"/>
        <v>0</v>
      </c>
      <c r="AG32" s="84"/>
      <c r="AH32" s="84"/>
      <c r="AI32" s="84"/>
      <c r="AJ32" s="84"/>
      <c r="AK32" s="84"/>
      <c r="AL32" s="84"/>
      <c r="AM32" s="84"/>
      <c r="AN32" s="84"/>
      <c r="AO32" s="84"/>
      <c r="AP32" s="84"/>
      <c r="AQ32" s="84"/>
      <c r="AR32" s="85"/>
    </row>
    <row r="33" spans="6:44" x14ac:dyDescent="0.25">
      <c r="F33" s="11"/>
      <c r="G33" s="77">
        <v>0</v>
      </c>
      <c r="H33" s="53">
        <v>3</v>
      </c>
      <c r="I33" s="81">
        <f t="shared" si="4"/>
        <v>0</v>
      </c>
      <c r="J33" s="81">
        <f t="shared" si="4"/>
        <v>0</v>
      </c>
      <c r="K33" s="81">
        <f t="shared" si="4"/>
        <v>0</v>
      </c>
      <c r="L33" s="81">
        <f t="shared" si="4"/>
        <v>0</v>
      </c>
      <c r="M33" s="81">
        <f t="shared" si="4"/>
        <v>0</v>
      </c>
      <c r="N33" s="84"/>
      <c r="O33" s="84"/>
      <c r="P33" s="84"/>
      <c r="Q33" s="84"/>
      <c r="R33" s="84"/>
      <c r="S33" s="84"/>
      <c r="T33" s="84"/>
      <c r="U33" s="84"/>
      <c r="V33" s="84"/>
      <c r="W33" s="84"/>
      <c r="X33" s="85"/>
      <c r="Z33" s="11"/>
      <c r="AA33" s="77">
        <v>0</v>
      </c>
      <c r="AB33" s="53">
        <v>3</v>
      </c>
      <c r="AC33" s="81">
        <f t="shared" si="5"/>
        <v>0</v>
      </c>
      <c r="AD33" s="81">
        <f t="shared" si="5"/>
        <v>0</v>
      </c>
      <c r="AE33" s="81">
        <f t="shared" si="5"/>
        <v>0</v>
      </c>
      <c r="AF33" s="81">
        <f t="shared" si="5"/>
        <v>0</v>
      </c>
      <c r="AG33" s="81">
        <f t="shared" si="5"/>
        <v>0</v>
      </c>
      <c r="AH33" s="84"/>
      <c r="AI33" s="84"/>
      <c r="AJ33" s="84"/>
      <c r="AK33" s="84"/>
      <c r="AL33" s="84"/>
      <c r="AM33" s="84"/>
      <c r="AN33" s="84"/>
      <c r="AO33" s="84"/>
      <c r="AP33" s="84"/>
      <c r="AQ33" s="84"/>
      <c r="AR33" s="85"/>
    </row>
    <row r="34" spans="6:44" x14ac:dyDescent="0.25">
      <c r="F34" s="11"/>
      <c r="G34" s="77">
        <v>0</v>
      </c>
      <c r="H34" s="53">
        <v>3.5</v>
      </c>
      <c r="I34" s="81">
        <f t="shared" si="4"/>
        <v>0</v>
      </c>
      <c r="J34" s="81">
        <f t="shared" si="4"/>
        <v>0</v>
      </c>
      <c r="K34" s="81">
        <f t="shared" si="4"/>
        <v>0</v>
      </c>
      <c r="L34" s="81">
        <f t="shared" si="4"/>
        <v>0</v>
      </c>
      <c r="M34" s="81">
        <f t="shared" si="4"/>
        <v>0</v>
      </c>
      <c r="N34" s="81">
        <f t="shared" si="4"/>
        <v>0</v>
      </c>
      <c r="O34" s="84"/>
      <c r="P34" s="84"/>
      <c r="Q34" s="84"/>
      <c r="R34" s="84"/>
      <c r="S34" s="84"/>
      <c r="T34" s="84"/>
      <c r="U34" s="84"/>
      <c r="V34" s="84"/>
      <c r="W34" s="84"/>
      <c r="X34" s="85"/>
      <c r="Z34" s="11"/>
      <c r="AA34" s="77">
        <v>0</v>
      </c>
      <c r="AB34" s="53">
        <v>3.5</v>
      </c>
      <c r="AC34" s="81">
        <f t="shared" si="5"/>
        <v>0</v>
      </c>
      <c r="AD34" s="81">
        <f t="shared" si="5"/>
        <v>0</v>
      </c>
      <c r="AE34" s="81">
        <f t="shared" si="5"/>
        <v>0</v>
      </c>
      <c r="AF34" s="81">
        <f t="shared" si="5"/>
        <v>0</v>
      </c>
      <c r="AG34" s="81">
        <f t="shared" si="5"/>
        <v>0</v>
      </c>
      <c r="AH34" s="81">
        <f t="shared" si="5"/>
        <v>0</v>
      </c>
      <c r="AI34" s="84"/>
      <c r="AJ34" s="84"/>
      <c r="AK34" s="84"/>
      <c r="AL34" s="84"/>
      <c r="AM34" s="84"/>
      <c r="AN34" s="84"/>
      <c r="AO34" s="84"/>
      <c r="AP34" s="84"/>
      <c r="AQ34" s="84"/>
      <c r="AR34" s="85"/>
    </row>
    <row r="35" spans="6:44" x14ac:dyDescent="0.25">
      <c r="F35" s="11"/>
      <c r="G35" s="77">
        <v>0</v>
      </c>
      <c r="H35" s="53">
        <v>4</v>
      </c>
      <c r="I35" s="81">
        <f t="shared" si="4"/>
        <v>0</v>
      </c>
      <c r="J35" s="81">
        <f t="shared" si="4"/>
        <v>0</v>
      </c>
      <c r="K35" s="81">
        <f t="shared" si="4"/>
        <v>0</v>
      </c>
      <c r="L35" s="81">
        <f t="shared" si="4"/>
        <v>0</v>
      </c>
      <c r="M35" s="81">
        <f t="shared" si="4"/>
        <v>0</v>
      </c>
      <c r="N35" s="81">
        <f t="shared" si="4"/>
        <v>0</v>
      </c>
      <c r="O35" s="81">
        <f t="shared" si="4"/>
        <v>0</v>
      </c>
      <c r="P35" s="84"/>
      <c r="Q35" s="84"/>
      <c r="R35" s="84"/>
      <c r="S35" s="84"/>
      <c r="T35" s="84"/>
      <c r="U35" s="84"/>
      <c r="V35" s="84"/>
      <c r="W35" s="84"/>
      <c r="X35" s="85"/>
      <c r="Z35" s="11"/>
      <c r="AA35" s="77">
        <v>0</v>
      </c>
      <c r="AB35" s="53">
        <v>4</v>
      </c>
      <c r="AC35" s="81">
        <f t="shared" si="5"/>
        <v>0</v>
      </c>
      <c r="AD35" s="81">
        <f t="shared" si="5"/>
        <v>0</v>
      </c>
      <c r="AE35" s="81">
        <f t="shared" si="5"/>
        <v>0</v>
      </c>
      <c r="AF35" s="81">
        <f t="shared" si="5"/>
        <v>0</v>
      </c>
      <c r="AG35" s="81">
        <f t="shared" si="5"/>
        <v>0</v>
      </c>
      <c r="AH35" s="81">
        <f t="shared" si="5"/>
        <v>0</v>
      </c>
      <c r="AI35" s="81">
        <f t="shared" si="5"/>
        <v>0</v>
      </c>
      <c r="AJ35" s="84"/>
      <c r="AK35" s="84"/>
      <c r="AL35" s="84"/>
      <c r="AM35" s="84"/>
      <c r="AN35" s="84"/>
      <c r="AO35" s="84"/>
      <c r="AP35" s="84"/>
      <c r="AQ35" s="84"/>
      <c r="AR35" s="85"/>
    </row>
    <row r="36" spans="6:44" x14ac:dyDescent="0.25">
      <c r="F36" s="11"/>
      <c r="G36" s="77">
        <v>0</v>
      </c>
      <c r="H36" s="53">
        <v>4.5</v>
      </c>
      <c r="I36" s="81">
        <f t="shared" si="4"/>
        <v>0</v>
      </c>
      <c r="J36" s="81">
        <f t="shared" si="4"/>
        <v>0</v>
      </c>
      <c r="K36" s="81">
        <f t="shared" si="4"/>
        <v>0</v>
      </c>
      <c r="L36" s="81">
        <f t="shared" si="4"/>
        <v>0</v>
      </c>
      <c r="M36" s="81">
        <f t="shared" si="4"/>
        <v>0</v>
      </c>
      <c r="N36" s="81">
        <f t="shared" si="4"/>
        <v>0</v>
      </c>
      <c r="O36" s="81">
        <f t="shared" si="4"/>
        <v>0</v>
      </c>
      <c r="P36" s="81">
        <f t="shared" si="4"/>
        <v>0</v>
      </c>
      <c r="Q36" s="84"/>
      <c r="R36" s="84"/>
      <c r="S36" s="84"/>
      <c r="T36" s="84"/>
      <c r="U36" s="84"/>
      <c r="V36" s="84"/>
      <c r="W36" s="84"/>
      <c r="X36" s="85"/>
      <c r="Z36" s="11"/>
      <c r="AA36" s="77">
        <v>0</v>
      </c>
      <c r="AB36" s="53">
        <v>4.5</v>
      </c>
      <c r="AC36" s="81">
        <f t="shared" si="5"/>
        <v>0</v>
      </c>
      <c r="AD36" s="81">
        <f t="shared" si="5"/>
        <v>0</v>
      </c>
      <c r="AE36" s="81">
        <f t="shared" si="5"/>
        <v>0</v>
      </c>
      <c r="AF36" s="81">
        <f t="shared" si="5"/>
        <v>0</v>
      </c>
      <c r="AG36" s="81">
        <f t="shared" si="5"/>
        <v>0</v>
      </c>
      <c r="AH36" s="81">
        <f t="shared" si="5"/>
        <v>0</v>
      </c>
      <c r="AI36" s="81">
        <f t="shared" si="5"/>
        <v>0</v>
      </c>
      <c r="AJ36" s="81">
        <f t="shared" si="5"/>
        <v>0</v>
      </c>
      <c r="AK36" s="84"/>
      <c r="AL36" s="84"/>
      <c r="AM36" s="84"/>
      <c r="AN36" s="84"/>
      <c r="AO36" s="84"/>
      <c r="AP36" s="84"/>
      <c r="AQ36" s="84"/>
      <c r="AR36" s="85"/>
    </row>
    <row r="37" spans="6:44" x14ac:dyDescent="0.25">
      <c r="F37" s="11"/>
      <c r="G37" s="77">
        <v>0</v>
      </c>
      <c r="H37" s="53">
        <v>5</v>
      </c>
      <c r="I37" s="81">
        <f t="shared" si="4"/>
        <v>0</v>
      </c>
      <c r="J37" s="81">
        <f t="shared" si="4"/>
        <v>0</v>
      </c>
      <c r="K37" s="81">
        <f t="shared" si="4"/>
        <v>0</v>
      </c>
      <c r="L37" s="81">
        <f t="shared" si="4"/>
        <v>0</v>
      </c>
      <c r="M37" s="81">
        <f t="shared" si="4"/>
        <v>0</v>
      </c>
      <c r="N37" s="81">
        <f t="shared" si="4"/>
        <v>0</v>
      </c>
      <c r="O37" s="81">
        <f t="shared" si="4"/>
        <v>0</v>
      </c>
      <c r="P37" s="81">
        <f t="shared" si="4"/>
        <v>0</v>
      </c>
      <c r="Q37" s="81">
        <f t="shared" si="4"/>
        <v>0</v>
      </c>
      <c r="R37" s="84"/>
      <c r="S37" s="84"/>
      <c r="T37" s="84"/>
      <c r="U37" s="84"/>
      <c r="V37" s="84"/>
      <c r="W37" s="84"/>
      <c r="X37" s="85"/>
      <c r="Z37" s="11"/>
      <c r="AA37" s="77">
        <v>0</v>
      </c>
      <c r="AB37" s="53">
        <v>5</v>
      </c>
      <c r="AC37" s="81">
        <f t="shared" si="5"/>
        <v>0</v>
      </c>
      <c r="AD37" s="81">
        <f t="shared" si="5"/>
        <v>0</v>
      </c>
      <c r="AE37" s="81">
        <f t="shared" si="5"/>
        <v>0</v>
      </c>
      <c r="AF37" s="81">
        <f t="shared" si="5"/>
        <v>0</v>
      </c>
      <c r="AG37" s="81">
        <f t="shared" si="5"/>
        <v>0</v>
      </c>
      <c r="AH37" s="81">
        <f t="shared" si="5"/>
        <v>0</v>
      </c>
      <c r="AI37" s="81">
        <f t="shared" si="5"/>
        <v>0</v>
      </c>
      <c r="AJ37" s="81">
        <f t="shared" si="5"/>
        <v>0</v>
      </c>
      <c r="AK37" s="81">
        <f t="shared" si="5"/>
        <v>0</v>
      </c>
      <c r="AL37" s="84"/>
      <c r="AM37" s="84"/>
      <c r="AN37" s="84"/>
      <c r="AO37" s="84"/>
      <c r="AP37" s="84"/>
      <c r="AQ37" s="84"/>
      <c r="AR37" s="85"/>
    </row>
    <row r="38" spans="6:44" x14ac:dyDescent="0.25">
      <c r="F38" s="11"/>
      <c r="G38" s="77">
        <v>0</v>
      </c>
      <c r="H38" s="53">
        <v>5.5</v>
      </c>
      <c r="I38" s="81">
        <f t="shared" si="4"/>
        <v>0</v>
      </c>
      <c r="J38" s="81">
        <f t="shared" si="4"/>
        <v>0</v>
      </c>
      <c r="K38" s="81">
        <f t="shared" si="4"/>
        <v>0</v>
      </c>
      <c r="L38" s="81">
        <f t="shared" si="4"/>
        <v>0</v>
      </c>
      <c r="M38" s="81">
        <f t="shared" si="4"/>
        <v>0</v>
      </c>
      <c r="N38" s="81">
        <f t="shared" si="4"/>
        <v>0</v>
      </c>
      <c r="O38" s="81">
        <f t="shared" si="4"/>
        <v>0</v>
      </c>
      <c r="P38" s="81">
        <f t="shared" si="4"/>
        <v>0</v>
      </c>
      <c r="Q38" s="81">
        <f t="shared" si="4"/>
        <v>0</v>
      </c>
      <c r="R38" s="81">
        <f t="shared" si="4"/>
        <v>0</v>
      </c>
      <c r="S38" s="84"/>
      <c r="T38" s="84"/>
      <c r="U38" s="84"/>
      <c r="V38" s="84"/>
      <c r="W38" s="84"/>
      <c r="X38" s="85"/>
      <c r="Z38" s="11"/>
      <c r="AA38" s="77">
        <v>0</v>
      </c>
      <c r="AB38" s="53">
        <v>5.5</v>
      </c>
      <c r="AC38" s="81">
        <f t="shared" si="5"/>
        <v>0</v>
      </c>
      <c r="AD38" s="81">
        <f t="shared" si="5"/>
        <v>0</v>
      </c>
      <c r="AE38" s="81">
        <f t="shared" si="5"/>
        <v>0</v>
      </c>
      <c r="AF38" s="81">
        <f t="shared" si="5"/>
        <v>0</v>
      </c>
      <c r="AG38" s="81">
        <f t="shared" si="5"/>
        <v>0</v>
      </c>
      <c r="AH38" s="81">
        <f t="shared" si="5"/>
        <v>0</v>
      </c>
      <c r="AI38" s="81">
        <f t="shared" si="5"/>
        <v>0</v>
      </c>
      <c r="AJ38" s="81">
        <f t="shared" si="5"/>
        <v>0</v>
      </c>
      <c r="AK38" s="81">
        <f t="shared" si="5"/>
        <v>0</v>
      </c>
      <c r="AL38" s="81">
        <f t="shared" si="5"/>
        <v>0</v>
      </c>
      <c r="AM38" s="84"/>
      <c r="AN38" s="84"/>
      <c r="AO38" s="84"/>
      <c r="AP38" s="84"/>
      <c r="AQ38" s="84"/>
      <c r="AR38" s="85"/>
    </row>
    <row r="39" spans="6:44" x14ac:dyDescent="0.25">
      <c r="F39" s="11"/>
      <c r="G39" s="77">
        <v>0</v>
      </c>
      <c r="H39" s="53">
        <v>6</v>
      </c>
      <c r="I39" s="81">
        <f t="shared" si="4"/>
        <v>0</v>
      </c>
      <c r="J39" s="81">
        <f t="shared" si="4"/>
        <v>0</v>
      </c>
      <c r="K39" s="81">
        <f t="shared" si="4"/>
        <v>0</v>
      </c>
      <c r="L39" s="81">
        <f t="shared" si="4"/>
        <v>0</v>
      </c>
      <c r="M39" s="81">
        <f t="shared" si="4"/>
        <v>0</v>
      </c>
      <c r="N39" s="81">
        <f t="shared" si="4"/>
        <v>0</v>
      </c>
      <c r="O39" s="81">
        <f t="shared" si="4"/>
        <v>0</v>
      </c>
      <c r="P39" s="81">
        <f t="shared" si="4"/>
        <v>0</v>
      </c>
      <c r="Q39" s="81">
        <f t="shared" si="4"/>
        <v>0</v>
      </c>
      <c r="R39" s="81">
        <f t="shared" si="4"/>
        <v>0</v>
      </c>
      <c r="S39" s="81">
        <f t="shared" si="4"/>
        <v>0</v>
      </c>
      <c r="T39" s="84"/>
      <c r="U39" s="84"/>
      <c r="V39" s="84"/>
      <c r="W39" s="84"/>
      <c r="X39" s="85"/>
      <c r="Z39" s="11"/>
      <c r="AA39" s="77">
        <v>0</v>
      </c>
      <c r="AB39" s="53">
        <v>6</v>
      </c>
      <c r="AC39" s="81">
        <f t="shared" si="5"/>
        <v>0</v>
      </c>
      <c r="AD39" s="81">
        <f t="shared" si="5"/>
        <v>0</v>
      </c>
      <c r="AE39" s="81">
        <f t="shared" si="5"/>
        <v>0</v>
      </c>
      <c r="AF39" s="81">
        <f t="shared" si="5"/>
        <v>0</v>
      </c>
      <c r="AG39" s="81">
        <f t="shared" si="5"/>
        <v>0</v>
      </c>
      <c r="AH39" s="81">
        <f t="shared" si="5"/>
        <v>0</v>
      </c>
      <c r="AI39" s="81">
        <f t="shared" si="5"/>
        <v>0</v>
      </c>
      <c r="AJ39" s="81">
        <f t="shared" si="5"/>
        <v>0</v>
      </c>
      <c r="AK39" s="81">
        <f t="shared" si="5"/>
        <v>0</v>
      </c>
      <c r="AL39" s="81">
        <f t="shared" si="5"/>
        <v>0</v>
      </c>
      <c r="AM39" s="81">
        <f t="shared" si="5"/>
        <v>0</v>
      </c>
      <c r="AN39" s="84"/>
      <c r="AO39" s="84"/>
      <c r="AP39" s="84"/>
      <c r="AQ39" s="84"/>
      <c r="AR39" s="85"/>
    </row>
    <row r="40" spans="6:44" x14ac:dyDescent="0.25">
      <c r="F40" s="11"/>
      <c r="G40" s="77">
        <v>0</v>
      </c>
      <c r="H40" s="53">
        <v>6.5</v>
      </c>
      <c r="I40" s="81">
        <f t="shared" si="4"/>
        <v>0</v>
      </c>
      <c r="J40" s="81">
        <f t="shared" si="4"/>
        <v>0</v>
      </c>
      <c r="K40" s="81">
        <f t="shared" si="4"/>
        <v>0</v>
      </c>
      <c r="L40" s="81">
        <f t="shared" si="4"/>
        <v>0</v>
      </c>
      <c r="M40" s="81">
        <f t="shared" si="4"/>
        <v>0</v>
      </c>
      <c r="N40" s="81">
        <f t="shared" si="4"/>
        <v>0</v>
      </c>
      <c r="O40" s="81">
        <f t="shared" si="4"/>
        <v>0</v>
      </c>
      <c r="P40" s="81">
        <f t="shared" si="4"/>
        <v>0</v>
      </c>
      <c r="Q40" s="81">
        <f t="shared" si="4"/>
        <v>0</v>
      </c>
      <c r="R40" s="81">
        <f t="shared" si="4"/>
        <v>0</v>
      </c>
      <c r="S40" s="81">
        <f t="shared" si="4"/>
        <v>0</v>
      </c>
      <c r="T40" s="81">
        <f t="shared" si="4"/>
        <v>0</v>
      </c>
      <c r="U40" s="84"/>
      <c r="V40" s="84"/>
      <c r="W40" s="84"/>
      <c r="X40" s="85"/>
      <c r="Z40" s="11"/>
      <c r="AA40" s="77">
        <v>0</v>
      </c>
      <c r="AB40" s="53">
        <v>6.5</v>
      </c>
      <c r="AC40" s="81">
        <f t="shared" si="5"/>
        <v>0</v>
      </c>
      <c r="AD40" s="81">
        <f t="shared" si="5"/>
        <v>0</v>
      </c>
      <c r="AE40" s="81">
        <f t="shared" si="5"/>
        <v>0</v>
      </c>
      <c r="AF40" s="81">
        <f t="shared" si="5"/>
        <v>0</v>
      </c>
      <c r="AG40" s="81">
        <f t="shared" si="5"/>
        <v>0</v>
      </c>
      <c r="AH40" s="81">
        <f t="shared" si="5"/>
        <v>0</v>
      </c>
      <c r="AI40" s="81">
        <f t="shared" si="5"/>
        <v>0</v>
      </c>
      <c r="AJ40" s="81">
        <f t="shared" si="5"/>
        <v>0</v>
      </c>
      <c r="AK40" s="81">
        <f t="shared" si="5"/>
        <v>0</v>
      </c>
      <c r="AL40" s="81">
        <f t="shared" si="5"/>
        <v>0</v>
      </c>
      <c r="AM40" s="81">
        <f t="shared" si="5"/>
        <v>0</v>
      </c>
      <c r="AN40" s="81">
        <f t="shared" si="5"/>
        <v>0</v>
      </c>
      <c r="AO40" s="84"/>
      <c r="AP40" s="84"/>
      <c r="AQ40" s="84"/>
      <c r="AR40" s="85"/>
    </row>
    <row r="41" spans="6:44" x14ac:dyDescent="0.25">
      <c r="F41" s="11"/>
      <c r="G41" s="77">
        <v>0</v>
      </c>
      <c r="H41" s="53">
        <v>7</v>
      </c>
      <c r="I41" s="81">
        <f t="shared" si="4"/>
        <v>0</v>
      </c>
      <c r="J41" s="81">
        <f t="shared" si="4"/>
        <v>0</v>
      </c>
      <c r="K41" s="81">
        <f t="shared" si="4"/>
        <v>0</v>
      </c>
      <c r="L41" s="81">
        <f t="shared" si="4"/>
        <v>0</v>
      </c>
      <c r="M41" s="81">
        <f t="shared" si="4"/>
        <v>0</v>
      </c>
      <c r="N41" s="81">
        <f t="shared" si="4"/>
        <v>0</v>
      </c>
      <c r="O41" s="81">
        <f t="shared" si="4"/>
        <v>0</v>
      </c>
      <c r="P41" s="81">
        <f t="shared" si="4"/>
        <v>0</v>
      </c>
      <c r="Q41" s="81">
        <f t="shared" si="4"/>
        <v>0</v>
      </c>
      <c r="R41" s="81">
        <f t="shared" si="4"/>
        <v>0</v>
      </c>
      <c r="S41" s="81">
        <f t="shared" si="4"/>
        <v>0</v>
      </c>
      <c r="T41" s="81">
        <f t="shared" si="4"/>
        <v>0</v>
      </c>
      <c r="U41" s="81">
        <f t="shared" si="4"/>
        <v>0</v>
      </c>
      <c r="V41" s="84"/>
      <c r="W41" s="84"/>
      <c r="X41" s="85"/>
      <c r="Z41" s="11"/>
      <c r="AA41" s="77">
        <v>0</v>
      </c>
      <c r="AB41" s="53">
        <v>7</v>
      </c>
      <c r="AC41" s="81">
        <f t="shared" si="5"/>
        <v>0</v>
      </c>
      <c r="AD41" s="81">
        <f t="shared" si="5"/>
        <v>0</v>
      </c>
      <c r="AE41" s="81">
        <f t="shared" si="5"/>
        <v>0</v>
      </c>
      <c r="AF41" s="81">
        <f t="shared" si="5"/>
        <v>0</v>
      </c>
      <c r="AG41" s="81">
        <f t="shared" si="5"/>
        <v>0</v>
      </c>
      <c r="AH41" s="81">
        <f t="shared" si="5"/>
        <v>0</v>
      </c>
      <c r="AI41" s="81">
        <f t="shared" si="5"/>
        <v>0</v>
      </c>
      <c r="AJ41" s="81">
        <f t="shared" si="5"/>
        <v>0</v>
      </c>
      <c r="AK41" s="81">
        <f t="shared" si="5"/>
        <v>0</v>
      </c>
      <c r="AL41" s="81">
        <f t="shared" si="5"/>
        <v>0</v>
      </c>
      <c r="AM41" s="81">
        <f t="shared" si="5"/>
        <v>0</v>
      </c>
      <c r="AN41" s="81">
        <f t="shared" si="5"/>
        <v>0</v>
      </c>
      <c r="AO41" s="81">
        <f t="shared" si="5"/>
        <v>0</v>
      </c>
      <c r="AP41" s="84"/>
      <c r="AQ41" s="84"/>
      <c r="AR41" s="85"/>
    </row>
    <row r="42" spans="6:44" x14ac:dyDescent="0.25">
      <c r="F42" s="11"/>
      <c r="G42" s="77">
        <v>0</v>
      </c>
      <c r="H42" s="53">
        <v>7.5</v>
      </c>
      <c r="I42" s="81">
        <f t="shared" si="4"/>
        <v>0</v>
      </c>
      <c r="J42" s="81">
        <f t="shared" si="4"/>
        <v>0</v>
      </c>
      <c r="K42" s="81">
        <f t="shared" si="4"/>
        <v>0</v>
      </c>
      <c r="L42" s="81">
        <f t="shared" si="4"/>
        <v>0</v>
      </c>
      <c r="M42" s="81">
        <f t="shared" si="4"/>
        <v>0</v>
      </c>
      <c r="N42" s="81">
        <f t="shared" si="4"/>
        <v>0</v>
      </c>
      <c r="O42" s="81">
        <f t="shared" si="4"/>
        <v>0</v>
      </c>
      <c r="P42" s="81">
        <f t="shared" si="4"/>
        <v>0</v>
      </c>
      <c r="Q42" s="81">
        <f t="shared" si="4"/>
        <v>0</v>
      </c>
      <c r="R42" s="81">
        <f t="shared" si="4"/>
        <v>0</v>
      </c>
      <c r="S42" s="81">
        <f t="shared" si="4"/>
        <v>0</v>
      </c>
      <c r="T42" s="81">
        <f t="shared" si="4"/>
        <v>0</v>
      </c>
      <c r="U42" s="81">
        <f t="shared" si="4"/>
        <v>0</v>
      </c>
      <c r="V42" s="81">
        <f t="shared" si="4"/>
        <v>0</v>
      </c>
      <c r="W42" s="84"/>
      <c r="X42" s="85"/>
      <c r="Z42" s="11"/>
      <c r="AA42" s="77">
        <v>0</v>
      </c>
      <c r="AB42" s="53">
        <v>7.5</v>
      </c>
      <c r="AC42" s="81">
        <f t="shared" si="5"/>
        <v>0</v>
      </c>
      <c r="AD42" s="81">
        <f t="shared" si="5"/>
        <v>0</v>
      </c>
      <c r="AE42" s="81">
        <f t="shared" si="5"/>
        <v>0</v>
      </c>
      <c r="AF42" s="81">
        <f t="shared" si="5"/>
        <v>0</v>
      </c>
      <c r="AG42" s="81">
        <f t="shared" si="5"/>
        <v>0</v>
      </c>
      <c r="AH42" s="81">
        <f t="shared" si="5"/>
        <v>0</v>
      </c>
      <c r="AI42" s="81">
        <f t="shared" si="5"/>
        <v>0</v>
      </c>
      <c r="AJ42" s="81">
        <f t="shared" si="5"/>
        <v>0</v>
      </c>
      <c r="AK42" s="81">
        <f t="shared" si="5"/>
        <v>0</v>
      </c>
      <c r="AL42" s="81">
        <f t="shared" si="5"/>
        <v>0</v>
      </c>
      <c r="AM42" s="81">
        <f t="shared" si="5"/>
        <v>0</v>
      </c>
      <c r="AN42" s="81">
        <f t="shared" si="5"/>
        <v>0</v>
      </c>
      <c r="AO42" s="81">
        <f t="shared" si="5"/>
        <v>0</v>
      </c>
      <c r="AP42" s="81">
        <f t="shared" si="5"/>
        <v>0</v>
      </c>
      <c r="AQ42" s="84"/>
      <c r="AR42" s="85"/>
    </row>
    <row r="43" spans="6:44" ht="15.75" thickBot="1" x14ac:dyDescent="0.3">
      <c r="F43" s="13"/>
      <c r="G43" s="80">
        <v>0</v>
      </c>
      <c r="H43" s="56">
        <v>8</v>
      </c>
      <c r="I43" s="82">
        <f t="shared" si="4"/>
        <v>0</v>
      </c>
      <c r="J43" s="82">
        <f t="shared" si="4"/>
        <v>0</v>
      </c>
      <c r="K43" s="82">
        <f t="shared" si="4"/>
        <v>0</v>
      </c>
      <c r="L43" s="82">
        <f t="shared" si="4"/>
        <v>0</v>
      </c>
      <c r="M43" s="82">
        <f t="shared" si="4"/>
        <v>0</v>
      </c>
      <c r="N43" s="82">
        <f t="shared" si="4"/>
        <v>0</v>
      </c>
      <c r="O43" s="82">
        <f t="shared" si="4"/>
        <v>0</v>
      </c>
      <c r="P43" s="82">
        <f t="shared" si="4"/>
        <v>0</v>
      </c>
      <c r="Q43" s="82">
        <f t="shared" si="4"/>
        <v>0</v>
      </c>
      <c r="R43" s="82">
        <f t="shared" si="4"/>
        <v>0</v>
      </c>
      <c r="S43" s="82">
        <f t="shared" si="4"/>
        <v>0</v>
      </c>
      <c r="T43" s="82">
        <f t="shared" si="4"/>
        <v>0</v>
      </c>
      <c r="U43" s="82">
        <f t="shared" si="4"/>
        <v>0</v>
      </c>
      <c r="V43" s="82">
        <f t="shared" si="4"/>
        <v>0</v>
      </c>
      <c r="W43" s="82">
        <f t="shared" si="4"/>
        <v>0</v>
      </c>
      <c r="X43" s="86"/>
      <c r="Z43" s="13"/>
      <c r="AA43" s="80">
        <v>0</v>
      </c>
      <c r="AB43" s="56">
        <v>8</v>
      </c>
      <c r="AC43" s="82">
        <f t="shared" si="5"/>
        <v>0</v>
      </c>
      <c r="AD43" s="82">
        <f t="shared" si="5"/>
        <v>0</v>
      </c>
      <c r="AE43" s="82">
        <f t="shared" si="5"/>
        <v>0</v>
      </c>
      <c r="AF43" s="82">
        <f t="shared" si="5"/>
        <v>0</v>
      </c>
      <c r="AG43" s="82">
        <f t="shared" si="5"/>
        <v>0</v>
      </c>
      <c r="AH43" s="82">
        <f t="shared" si="5"/>
        <v>0</v>
      </c>
      <c r="AI43" s="82">
        <f t="shared" si="5"/>
        <v>0</v>
      </c>
      <c r="AJ43" s="82">
        <f t="shared" si="5"/>
        <v>0</v>
      </c>
      <c r="AK43" s="82">
        <f t="shared" si="5"/>
        <v>0</v>
      </c>
      <c r="AL43" s="82">
        <f t="shared" si="5"/>
        <v>0</v>
      </c>
      <c r="AM43" s="82">
        <f t="shared" si="5"/>
        <v>0</v>
      </c>
      <c r="AN43" s="82">
        <f t="shared" si="5"/>
        <v>0</v>
      </c>
      <c r="AO43" s="82">
        <f t="shared" si="5"/>
        <v>0</v>
      </c>
      <c r="AP43" s="82">
        <f t="shared" si="5"/>
        <v>0</v>
      </c>
      <c r="AQ43" s="82">
        <f t="shared" si="5"/>
        <v>0</v>
      </c>
      <c r="AR43" s="86"/>
    </row>
    <row r="45" spans="6:44" x14ac:dyDescent="0.25">
      <c r="F45" s="1" t="s">
        <v>95</v>
      </c>
      <c r="G45" s="18">
        <v>4</v>
      </c>
      <c r="H45" s="1" t="s">
        <v>46</v>
      </c>
    </row>
    <row r="46" spans="6:44" ht="15.75" thickBot="1" x14ac:dyDescent="0.3"/>
    <row r="47" spans="6:44" x14ac:dyDescent="0.25">
      <c r="F47" s="89" t="s">
        <v>96</v>
      </c>
      <c r="G47" s="9" t="s">
        <v>93</v>
      </c>
      <c r="H47" s="78">
        <v>1</v>
      </c>
      <c r="I47" s="78">
        <f>H19</f>
        <v>0.97643216359813645</v>
      </c>
      <c r="J47" s="78">
        <f t="shared" ref="J47:X47" si="6">I19</f>
        <v>0.96779999999999999</v>
      </c>
      <c r="K47" s="78">
        <f t="shared" si="6"/>
        <v>0</v>
      </c>
      <c r="L47" s="78">
        <f t="shared" si="6"/>
        <v>0</v>
      </c>
      <c r="M47" s="78">
        <f t="shared" si="6"/>
        <v>0</v>
      </c>
      <c r="N47" s="78">
        <f t="shared" si="6"/>
        <v>0</v>
      </c>
      <c r="O47" s="78">
        <f t="shared" si="6"/>
        <v>0</v>
      </c>
      <c r="P47" s="78">
        <f t="shared" si="6"/>
        <v>0</v>
      </c>
      <c r="Q47" s="78">
        <f t="shared" si="6"/>
        <v>0</v>
      </c>
      <c r="R47" s="78">
        <f t="shared" si="6"/>
        <v>0</v>
      </c>
      <c r="S47" s="78">
        <f t="shared" si="6"/>
        <v>0</v>
      </c>
      <c r="T47" s="78">
        <f t="shared" si="6"/>
        <v>0</v>
      </c>
      <c r="U47" s="78">
        <f t="shared" si="6"/>
        <v>0</v>
      </c>
      <c r="V47" s="78">
        <f t="shared" si="6"/>
        <v>0</v>
      </c>
      <c r="W47" s="78">
        <f t="shared" si="6"/>
        <v>0</v>
      </c>
      <c r="X47" s="79">
        <f t="shared" si="6"/>
        <v>0</v>
      </c>
      <c r="Z47" s="89" t="s">
        <v>102</v>
      </c>
      <c r="AA47" s="9" t="s">
        <v>93</v>
      </c>
      <c r="AB47" s="78">
        <v>1</v>
      </c>
      <c r="AC47" s="78">
        <f>H23</f>
        <v>0.97643216359813645</v>
      </c>
      <c r="AD47" s="78">
        <f t="shared" ref="AD47:AR47" si="7">I23</f>
        <v>0.96779999999999999</v>
      </c>
      <c r="AE47" s="78">
        <f t="shared" si="7"/>
        <v>0</v>
      </c>
      <c r="AF47" s="78">
        <f t="shared" si="7"/>
        <v>0</v>
      </c>
      <c r="AG47" s="78">
        <f t="shared" si="7"/>
        <v>0</v>
      </c>
      <c r="AH47" s="78">
        <f t="shared" si="7"/>
        <v>0</v>
      </c>
      <c r="AI47" s="78">
        <f t="shared" si="7"/>
        <v>0</v>
      </c>
      <c r="AJ47" s="78">
        <f t="shared" si="7"/>
        <v>0</v>
      </c>
      <c r="AK47" s="78">
        <f t="shared" si="7"/>
        <v>0</v>
      </c>
      <c r="AL47" s="78">
        <f t="shared" si="7"/>
        <v>0</v>
      </c>
      <c r="AM47" s="78">
        <f t="shared" si="7"/>
        <v>0</v>
      </c>
      <c r="AN47" s="78">
        <f t="shared" si="7"/>
        <v>0</v>
      </c>
      <c r="AO47" s="78">
        <f t="shared" si="7"/>
        <v>0</v>
      </c>
      <c r="AP47" s="78">
        <f t="shared" si="7"/>
        <v>0</v>
      </c>
      <c r="AQ47" s="78">
        <f t="shared" si="7"/>
        <v>0</v>
      </c>
      <c r="AR47" s="79">
        <f t="shared" si="7"/>
        <v>0</v>
      </c>
    </row>
    <row r="48" spans="6:44" x14ac:dyDescent="0.25">
      <c r="F48" s="5" t="s">
        <v>94</v>
      </c>
      <c r="G48" s="77">
        <v>1</v>
      </c>
      <c r="H48" s="53">
        <f>G37</f>
        <v>0</v>
      </c>
      <c r="I48" s="53">
        <f>H18</f>
        <v>0.5</v>
      </c>
      <c r="J48" s="53">
        <f t="shared" ref="J48:X48" si="8">I18</f>
        <v>1</v>
      </c>
      <c r="K48" s="53">
        <f t="shared" si="8"/>
        <v>1.5</v>
      </c>
      <c r="L48" s="53">
        <f t="shared" si="8"/>
        <v>2</v>
      </c>
      <c r="M48" s="53">
        <f t="shared" si="8"/>
        <v>2.5</v>
      </c>
      <c r="N48" s="53">
        <f t="shared" si="8"/>
        <v>3</v>
      </c>
      <c r="O48" s="53">
        <f t="shared" si="8"/>
        <v>3.5</v>
      </c>
      <c r="P48" s="53">
        <f t="shared" si="8"/>
        <v>4</v>
      </c>
      <c r="Q48" s="53">
        <f t="shared" si="8"/>
        <v>4.5</v>
      </c>
      <c r="R48" s="53">
        <f t="shared" si="8"/>
        <v>5</v>
      </c>
      <c r="S48" s="53">
        <f t="shared" si="8"/>
        <v>5.5</v>
      </c>
      <c r="T48" s="53">
        <f t="shared" si="8"/>
        <v>6</v>
      </c>
      <c r="U48" s="53">
        <f t="shared" si="8"/>
        <v>6.5</v>
      </c>
      <c r="V48" s="53">
        <f t="shared" si="8"/>
        <v>7</v>
      </c>
      <c r="W48" s="53">
        <f t="shared" si="8"/>
        <v>7.5</v>
      </c>
      <c r="X48" s="54">
        <f t="shared" si="8"/>
        <v>8</v>
      </c>
      <c r="Z48" s="5" t="s">
        <v>94</v>
      </c>
      <c r="AA48" s="77">
        <v>1</v>
      </c>
      <c r="AB48" s="53">
        <f>AA37</f>
        <v>0</v>
      </c>
      <c r="AC48" s="53">
        <f>AC27</f>
        <v>0.5</v>
      </c>
      <c r="AD48" s="53">
        <f t="shared" ref="AD48:AR48" si="9">AD27</f>
        <v>1</v>
      </c>
      <c r="AE48" s="53">
        <f t="shared" si="9"/>
        <v>1.5</v>
      </c>
      <c r="AF48" s="53">
        <f t="shared" si="9"/>
        <v>2</v>
      </c>
      <c r="AG48" s="53">
        <f t="shared" si="9"/>
        <v>2.5</v>
      </c>
      <c r="AH48" s="53">
        <f t="shared" si="9"/>
        <v>3</v>
      </c>
      <c r="AI48" s="53">
        <f t="shared" si="9"/>
        <v>3.5</v>
      </c>
      <c r="AJ48" s="53">
        <f t="shared" si="9"/>
        <v>4</v>
      </c>
      <c r="AK48" s="53">
        <f t="shared" si="9"/>
        <v>4.5</v>
      </c>
      <c r="AL48" s="53">
        <f t="shared" si="9"/>
        <v>5</v>
      </c>
      <c r="AM48" s="53">
        <f t="shared" si="9"/>
        <v>5.5</v>
      </c>
      <c r="AN48" s="53">
        <f t="shared" si="9"/>
        <v>6</v>
      </c>
      <c r="AO48" s="53">
        <f t="shared" si="9"/>
        <v>6.5</v>
      </c>
      <c r="AP48" s="53">
        <f t="shared" si="9"/>
        <v>7</v>
      </c>
      <c r="AQ48" s="53">
        <f t="shared" si="9"/>
        <v>7.5</v>
      </c>
      <c r="AR48" s="54">
        <f t="shared" si="9"/>
        <v>8</v>
      </c>
    </row>
    <row r="49" spans="6:44" x14ac:dyDescent="0.25">
      <c r="F49" s="11"/>
      <c r="G49" s="77">
        <f t="array" ref="G49:G64">TRANSPOSE(H19:W19)</f>
        <v>0.97643216359813645</v>
      </c>
      <c r="H49" s="53">
        <f t="array" ref="H49:H64">TRANSPOSE($H$18:$W$18)</f>
        <v>0.5</v>
      </c>
      <c r="I49" s="83"/>
      <c r="J49" s="87"/>
      <c r="K49" s="87"/>
      <c r="L49" s="87"/>
      <c r="M49" s="87"/>
      <c r="N49" s="87"/>
      <c r="O49" s="87"/>
      <c r="P49" s="87"/>
      <c r="Q49" s="87"/>
      <c r="R49" s="87"/>
      <c r="S49" s="87"/>
      <c r="T49" s="87"/>
      <c r="U49" s="87"/>
      <c r="V49" s="87"/>
      <c r="W49" s="87"/>
      <c r="X49" s="88"/>
      <c r="Z49" s="11"/>
      <c r="AA49" s="77">
        <f t="array" ref="AA49:AA64">TRANSPOSE(H23:W23)</f>
        <v>0.97643216359813645</v>
      </c>
      <c r="AB49" s="53">
        <f t="array" ref="AB49:AB64">TRANSPOSE($H$18:$W$18)</f>
        <v>0.5</v>
      </c>
      <c r="AC49" s="83"/>
      <c r="AD49" s="87"/>
      <c r="AE49" s="87"/>
      <c r="AF49" s="87"/>
      <c r="AG49" s="87"/>
      <c r="AH49" s="87"/>
      <c r="AI49" s="87"/>
      <c r="AJ49" s="87"/>
      <c r="AK49" s="87"/>
      <c r="AL49" s="87"/>
      <c r="AM49" s="87"/>
      <c r="AN49" s="87"/>
      <c r="AO49" s="87"/>
      <c r="AP49" s="87"/>
      <c r="AQ49" s="87"/>
      <c r="AR49" s="88"/>
    </row>
    <row r="50" spans="6:44" x14ac:dyDescent="0.25">
      <c r="F50" s="5"/>
      <c r="G50" s="77">
        <v>0.96779999999999999</v>
      </c>
      <c r="H50" s="53">
        <v>1</v>
      </c>
      <c r="I50" s="81">
        <f>IF(I29&gt;0, IF(TYPE($G$45)=1, $G$45 * ((I29^(-1/($G$45*($H50-I$48))))-1), -(LN(I29)/($H50-I$48))), 0)</f>
        <v>1.7799133302126791E-2</v>
      </c>
      <c r="J50" s="84"/>
      <c r="K50" s="84"/>
      <c r="L50" s="84"/>
      <c r="M50" s="84"/>
      <c r="N50" s="84"/>
      <c r="O50" s="84"/>
      <c r="P50" s="84"/>
      <c r="Q50" s="84"/>
      <c r="R50" s="84"/>
      <c r="S50" s="84"/>
      <c r="T50" s="84"/>
      <c r="U50" s="84"/>
      <c r="V50" s="84"/>
      <c r="W50" s="84"/>
      <c r="X50" s="85"/>
      <c r="Z50" s="5"/>
      <c r="AA50" s="77">
        <v>0.96779999999999999</v>
      </c>
      <c r="AB50" s="53">
        <v>1</v>
      </c>
      <c r="AC50" s="81">
        <f>IF(AC29&gt;0, IF(TYPE($G$45)=1, $G$45 * ((AC29^(-1/($G$45*($AB50-AC$48))))-1), -(LN(AC29)/($AB50-AC$48))), 0)</f>
        <v>1.7799133302126791E-2</v>
      </c>
      <c r="AD50" s="84"/>
      <c r="AE50" s="84"/>
      <c r="AF50" s="84"/>
      <c r="AG50" s="84"/>
      <c r="AH50" s="84"/>
      <c r="AI50" s="84"/>
      <c r="AJ50" s="84"/>
      <c r="AK50" s="84"/>
      <c r="AL50" s="84"/>
      <c r="AM50" s="84"/>
      <c r="AN50" s="84"/>
      <c r="AO50" s="84"/>
      <c r="AP50" s="84"/>
      <c r="AQ50" s="84"/>
      <c r="AR50" s="85"/>
    </row>
    <row r="51" spans="6:44" x14ac:dyDescent="0.25">
      <c r="F51" s="11"/>
      <c r="G51" s="77">
        <v>0</v>
      </c>
      <c r="H51" s="53">
        <v>1.5</v>
      </c>
      <c r="I51" s="81">
        <f t="shared" ref="I51:W64" si="10">IF(I30&gt;0, IF(TYPE($G$45)=1, $G$45 * ((I30^(-1/($G$45*($H51-I$48))))-1), -(LN(I30)/($H51-I$48))), 0)</f>
        <v>0</v>
      </c>
      <c r="J51" s="81">
        <f t="shared" si="10"/>
        <v>0</v>
      </c>
      <c r="K51" s="84"/>
      <c r="L51" s="84"/>
      <c r="M51" s="84"/>
      <c r="N51" s="84"/>
      <c r="O51" s="84"/>
      <c r="P51" s="84"/>
      <c r="Q51" s="84"/>
      <c r="R51" s="84"/>
      <c r="S51" s="84"/>
      <c r="T51" s="84"/>
      <c r="U51" s="84"/>
      <c r="V51" s="84"/>
      <c r="W51" s="84"/>
      <c r="X51" s="85"/>
      <c r="Z51" s="11"/>
      <c r="AA51" s="77">
        <v>0</v>
      </c>
      <c r="AB51" s="53">
        <v>1.5</v>
      </c>
      <c r="AC51" s="81">
        <f t="shared" ref="AC51:AQ64" si="11">IF(AC30&gt;0, IF(TYPE($G$45)=1, $G$45 * ((AC30^(-1/($G$45*($AB51-AC$48))))-1), -(LN(AC30)/($AB51-AC$48))), 0)</f>
        <v>0</v>
      </c>
      <c r="AD51" s="81">
        <f t="shared" si="11"/>
        <v>0</v>
      </c>
      <c r="AE51" s="84"/>
      <c r="AF51" s="84"/>
      <c r="AG51" s="84"/>
      <c r="AH51" s="84"/>
      <c r="AI51" s="84"/>
      <c r="AJ51" s="84"/>
      <c r="AK51" s="84"/>
      <c r="AL51" s="84"/>
      <c r="AM51" s="84"/>
      <c r="AN51" s="84"/>
      <c r="AO51" s="84"/>
      <c r="AP51" s="84"/>
      <c r="AQ51" s="84"/>
      <c r="AR51" s="85"/>
    </row>
    <row r="52" spans="6:44" x14ac:dyDescent="0.25">
      <c r="F52" s="11"/>
      <c r="G52" s="77">
        <v>0</v>
      </c>
      <c r="H52" s="53">
        <v>2</v>
      </c>
      <c r="I52" s="81">
        <f t="shared" si="10"/>
        <v>0</v>
      </c>
      <c r="J52" s="81">
        <f t="shared" si="10"/>
        <v>0</v>
      </c>
      <c r="K52" s="81">
        <f t="shared" si="10"/>
        <v>0</v>
      </c>
      <c r="L52" s="84"/>
      <c r="M52" s="84"/>
      <c r="N52" s="84"/>
      <c r="O52" s="84"/>
      <c r="P52" s="84"/>
      <c r="Q52" s="84"/>
      <c r="R52" s="84"/>
      <c r="S52" s="84"/>
      <c r="T52" s="84"/>
      <c r="U52" s="84"/>
      <c r="V52" s="84"/>
      <c r="W52" s="84"/>
      <c r="X52" s="85"/>
      <c r="Z52" s="11"/>
      <c r="AA52" s="77">
        <v>0</v>
      </c>
      <c r="AB52" s="53">
        <v>2</v>
      </c>
      <c r="AC52" s="81">
        <f t="shared" si="11"/>
        <v>0</v>
      </c>
      <c r="AD52" s="81">
        <f t="shared" si="11"/>
        <v>0</v>
      </c>
      <c r="AE52" s="81">
        <f t="shared" si="11"/>
        <v>0</v>
      </c>
      <c r="AF52" s="84"/>
      <c r="AG52" s="84"/>
      <c r="AH52" s="84"/>
      <c r="AI52" s="84"/>
      <c r="AJ52" s="84"/>
      <c r="AK52" s="84"/>
      <c r="AL52" s="84"/>
      <c r="AM52" s="84"/>
      <c r="AN52" s="84"/>
      <c r="AO52" s="84"/>
      <c r="AP52" s="84"/>
      <c r="AQ52" s="84"/>
      <c r="AR52" s="85"/>
    </row>
    <row r="53" spans="6:44" x14ac:dyDescent="0.25">
      <c r="F53" s="11"/>
      <c r="G53" s="77">
        <v>0</v>
      </c>
      <c r="H53" s="53">
        <v>2.5</v>
      </c>
      <c r="I53" s="81">
        <f t="shared" si="10"/>
        <v>0</v>
      </c>
      <c r="J53" s="81">
        <f t="shared" si="10"/>
        <v>0</v>
      </c>
      <c r="K53" s="81">
        <f t="shared" si="10"/>
        <v>0</v>
      </c>
      <c r="L53" s="81">
        <f t="shared" si="10"/>
        <v>0</v>
      </c>
      <c r="M53" s="84"/>
      <c r="N53" s="84"/>
      <c r="O53" s="84"/>
      <c r="P53" s="84"/>
      <c r="Q53" s="84"/>
      <c r="R53" s="84"/>
      <c r="S53" s="84"/>
      <c r="T53" s="84"/>
      <c r="U53" s="84"/>
      <c r="V53" s="84"/>
      <c r="W53" s="84"/>
      <c r="X53" s="85"/>
      <c r="Z53" s="11"/>
      <c r="AA53" s="77">
        <v>0</v>
      </c>
      <c r="AB53" s="53">
        <v>2.5</v>
      </c>
      <c r="AC53" s="81">
        <f t="shared" si="11"/>
        <v>0</v>
      </c>
      <c r="AD53" s="81">
        <f t="shared" si="11"/>
        <v>0</v>
      </c>
      <c r="AE53" s="81">
        <f t="shared" si="11"/>
        <v>0</v>
      </c>
      <c r="AF53" s="81">
        <f t="shared" si="11"/>
        <v>0</v>
      </c>
      <c r="AG53" s="84"/>
      <c r="AH53" s="84"/>
      <c r="AI53" s="84"/>
      <c r="AJ53" s="84"/>
      <c r="AK53" s="84"/>
      <c r="AL53" s="84"/>
      <c r="AM53" s="84"/>
      <c r="AN53" s="84"/>
      <c r="AO53" s="84"/>
      <c r="AP53" s="84"/>
      <c r="AQ53" s="84"/>
      <c r="AR53" s="85"/>
    </row>
    <row r="54" spans="6:44" x14ac:dyDescent="0.25">
      <c r="F54" s="11"/>
      <c r="G54" s="77">
        <v>0</v>
      </c>
      <c r="H54" s="53">
        <v>3</v>
      </c>
      <c r="I54" s="81">
        <f t="shared" si="10"/>
        <v>0</v>
      </c>
      <c r="J54" s="81">
        <f t="shared" si="10"/>
        <v>0</v>
      </c>
      <c r="K54" s="81">
        <f t="shared" si="10"/>
        <v>0</v>
      </c>
      <c r="L54" s="81">
        <f t="shared" si="10"/>
        <v>0</v>
      </c>
      <c r="M54" s="81">
        <f t="shared" si="10"/>
        <v>0</v>
      </c>
      <c r="N54" s="84"/>
      <c r="O54" s="84"/>
      <c r="P54" s="84"/>
      <c r="Q54" s="84"/>
      <c r="R54" s="84"/>
      <c r="S54" s="84"/>
      <c r="T54" s="84"/>
      <c r="U54" s="84"/>
      <c r="V54" s="84"/>
      <c r="W54" s="84"/>
      <c r="X54" s="85"/>
      <c r="Z54" s="11"/>
      <c r="AA54" s="77">
        <v>0</v>
      </c>
      <c r="AB54" s="53">
        <v>3</v>
      </c>
      <c r="AC54" s="81">
        <f t="shared" si="11"/>
        <v>0</v>
      </c>
      <c r="AD54" s="81">
        <f t="shared" si="11"/>
        <v>0</v>
      </c>
      <c r="AE54" s="81">
        <f t="shared" si="11"/>
        <v>0</v>
      </c>
      <c r="AF54" s="81">
        <f t="shared" si="11"/>
        <v>0</v>
      </c>
      <c r="AG54" s="81">
        <f t="shared" si="11"/>
        <v>0</v>
      </c>
      <c r="AH54" s="84"/>
      <c r="AI54" s="84"/>
      <c r="AJ54" s="84"/>
      <c r="AK54" s="84"/>
      <c r="AL54" s="84"/>
      <c r="AM54" s="84"/>
      <c r="AN54" s="84"/>
      <c r="AO54" s="84"/>
      <c r="AP54" s="84"/>
      <c r="AQ54" s="84"/>
      <c r="AR54" s="85"/>
    </row>
    <row r="55" spans="6:44" x14ac:dyDescent="0.25">
      <c r="F55" s="11"/>
      <c r="G55" s="77">
        <v>0</v>
      </c>
      <c r="H55" s="53">
        <v>3.5</v>
      </c>
      <c r="I55" s="81">
        <f t="shared" si="10"/>
        <v>0</v>
      </c>
      <c r="J55" s="81">
        <f t="shared" si="10"/>
        <v>0</v>
      </c>
      <c r="K55" s="81">
        <f t="shared" si="10"/>
        <v>0</v>
      </c>
      <c r="L55" s="81">
        <f t="shared" si="10"/>
        <v>0</v>
      </c>
      <c r="M55" s="81">
        <f t="shared" si="10"/>
        <v>0</v>
      </c>
      <c r="N55" s="81">
        <f t="shared" si="10"/>
        <v>0</v>
      </c>
      <c r="O55" s="84"/>
      <c r="P55" s="84"/>
      <c r="Q55" s="84"/>
      <c r="R55" s="84"/>
      <c r="S55" s="84"/>
      <c r="T55" s="84"/>
      <c r="U55" s="84"/>
      <c r="V55" s="84"/>
      <c r="W55" s="84"/>
      <c r="X55" s="85"/>
      <c r="Z55" s="11"/>
      <c r="AA55" s="77">
        <v>0</v>
      </c>
      <c r="AB55" s="53">
        <v>3.5</v>
      </c>
      <c r="AC55" s="81">
        <f t="shared" si="11"/>
        <v>0</v>
      </c>
      <c r="AD55" s="81">
        <f t="shared" si="11"/>
        <v>0</v>
      </c>
      <c r="AE55" s="81">
        <f t="shared" si="11"/>
        <v>0</v>
      </c>
      <c r="AF55" s="81">
        <f t="shared" si="11"/>
        <v>0</v>
      </c>
      <c r="AG55" s="81">
        <f t="shared" si="11"/>
        <v>0</v>
      </c>
      <c r="AH55" s="81">
        <f t="shared" si="11"/>
        <v>0</v>
      </c>
      <c r="AI55" s="84"/>
      <c r="AJ55" s="84"/>
      <c r="AK55" s="84"/>
      <c r="AL55" s="84"/>
      <c r="AM55" s="84"/>
      <c r="AN55" s="84"/>
      <c r="AO55" s="84"/>
      <c r="AP55" s="84"/>
      <c r="AQ55" s="84"/>
      <c r="AR55" s="85"/>
    </row>
    <row r="56" spans="6:44" x14ac:dyDescent="0.25">
      <c r="F56" s="11"/>
      <c r="G56" s="77">
        <v>0</v>
      </c>
      <c r="H56" s="53">
        <v>4</v>
      </c>
      <c r="I56" s="81">
        <f t="shared" si="10"/>
        <v>0</v>
      </c>
      <c r="J56" s="81">
        <f t="shared" si="10"/>
        <v>0</v>
      </c>
      <c r="K56" s="81">
        <f t="shared" si="10"/>
        <v>0</v>
      </c>
      <c r="L56" s="81">
        <f t="shared" si="10"/>
        <v>0</v>
      </c>
      <c r="M56" s="81">
        <f t="shared" si="10"/>
        <v>0</v>
      </c>
      <c r="N56" s="81">
        <f t="shared" si="10"/>
        <v>0</v>
      </c>
      <c r="O56" s="81">
        <f t="shared" si="10"/>
        <v>0</v>
      </c>
      <c r="P56" s="84"/>
      <c r="Q56" s="84"/>
      <c r="R56" s="84"/>
      <c r="S56" s="84"/>
      <c r="T56" s="84"/>
      <c r="U56" s="84"/>
      <c r="V56" s="84"/>
      <c r="W56" s="84"/>
      <c r="X56" s="85"/>
      <c r="Z56" s="11"/>
      <c r="AA56" s="77">
        <v>0</v>
      </c>
      <c r="AB56" s="53">
        <v>4</v>
      </c>
      <c r="AC56" s="81">
        <f t="shared" si="11"/>
        <v>0</v>
      </c>
      <c r="AD56" s="81">
        <f t="shared" si="11"/>
        <v>0</v>
      </c>
      <c r="AE56" s="81">
        <f t="shared" si="11"/>
        <v>0</v>
      </c>
      <c r="AF56" s="81">
        <f t="shared" si="11"/>
        <v>0</v>
      </c>
      <c r="AG56" s="81">
        <f t="shared" si="11"/>
        <v>0</v>
      </c>
      <c r="AH56" s="81">
        <f t="shared" si="11"/>
        <v>0</v>
      </c>
      <c r="AI56" s="81">
        <f t="shared" si="11"/>
        <v>0</v>
      </c>
      <c r="AJ56" s="84"/>
      <c r="AK56" s="84"/>
      <c r="AL56" s="84"/>
      <c r="AM56" s="84"/>
      <c r="AN56" s="84"/>
      <c r="AO56" s="84"/>
      <c r="AP56" s="84"/>
      <c r="AQ56" s="84"/>
      <c r="AR56" s="85"/>
    </row>
    <row r="57" spans="6:44" x14ac:dyDescent="0.25">
      <c r="F57" s="11"/>
      <c r="G57" s="77">
        <v>0</v>
      </c>
      <c r="H57" s="53">
        <v>4.5</v>
      </c>
      <c r="I57" s="81">
        <f t="shared" si="10"/>
        <v>0</v>
      </c>
      <c r="J57" s="81">
        <f t="shared" si="10"/>
        <v>0</v>
      </c>
      <c r="K57" s="81">
        <f t="shared" si="10"/>
        <v>0</v>
      </c>
      <c r="L57" s="81">
        <f t="shared" si="10"/>
        <v>0</v>
      </c>
      <c r="M57" s="81">
        <f t="shared" si="10"/>
        <v>0</v>
      </c>
      <c r="N57" s="81">
        <f t="shared" si="10"/>
        <v>0</v>
      </c>
      <c r="O57" s="81">
        <f t="shared" si="10"/>
        <v>0</v>
      </c>
      <c r="P57" s="81">
        <f t="shared" si="10"/>
        <v>0</v>
      </c>
      <c r="Q57" s="84"/>
      <c r="R57" s="84"/>
      <c r="S57" s="84"/>
      <c r="T57" s="84"/>
      <c r="U57" s="84"/>
      <c r="V57" s="84"/>
      <c r="W57" s="84"/>
      <c r="X57" s="85"/>
      <c r="Z57" s="11"/>
      <c r="AA57" s="77">
        <v>0</v>
      </c>
      <c r="AB57" s="53">
        <v>4.5</v>
      </c>
      <c r="AC57" s="81">
        <f t="shared" si="11"/>
        <v>0</v>
      </c>
      <c r="AD57" s="81">
        <f t="shared" si="11"/>
        <v>0</v>
      </c>
      <c r="AE57" s="81">
        <f t="shared" si="11"/>
        <v>0</v>
      </c>
      <c r="AF57" s="81">
        <f t="shared" si="11"/>
        <v>0</v>
      </c>
      <c r="AG57" s="81">
        <f t="shared" si="11"/>
        <v>0</v>
      </c>
      <c r="AH57" s="81">
        <f t="shared" si="11"/>
        <v>0</v>
      </c>
      <c r="AI57" s="81">
        <f t="shared" si="11"/>
        <v>0</v>
      </c>
      <c r="AJ57" s="81">
        <f t="shared" si="11"/>
        <v>0</v>
      </c>
      <c r="AK57" s="84"/>
      <c r="AL57" s="84"/>
      <c r="AM57" s="84"/>
      <c r="AN57" s="84"/>
      <c r="AO57" s="84"/>
      <c r="AP57" s="84"/>
      <c r="AQ57" s="84"/>
      <c r="AR57" s="85"/>
    </row>
    <row r="58" spans="6:44" x14ac:dyDescent="0.25">
      <c r="F58" s="11"/>
      <c r="G58" s="77">
        <v>0</v>
      </c>
      <c r="H58" s="53">
        <v>5</v>
      </c>
      <c r="I58" s="81">
        <f t="shared" si="10"/>
        <v>0</v>
      </c>
      <c r="J58" s="81">
        <f t="shared" si="10"/>
        <v>0</v>
      </c>
      <c r="K58" s="81">
        <f t="shared" si="10"/>
        <v>0</v>
      </c>
      <c r="L58" s="81">
        <f t="shared" si="10"/>
        <v>0</v>
      </c>
      <c r="M58" s="81">
        <f t="shared" si="10"/>
        <v>0</v>
      </c>
      <c r="N58" s="81">
        <f t="shared" si="10"/>
        <v>0</v>
      </c>
      <c r="O58" s="81">
        <f t="shared" si="10"/>
        <v>0</v>
      </c>
      <c r="P58" s="81">
        <f t="shared" si="10"/>
        <v>0</v>
      </c>
      <c r="Q58" s="81">
        <f t="shared" si="10"/>
        <v>0</v>
      </c>
      <c r="R58" s="84"/>
      <c r="S58" s="84"/>
      <c r="T58" s="84"/>
      <c r="U58" s="84"/>
      <c r="V58" s="84"/>
      <c r="W58" s="84"/>
      <c r="X58" s="85"/>
      <c r="Z58" s="11"/>
      <c r="AA58" s="77">
        <v>0</v>
      </c>
      <c r="AB58" s="53">
        <v>5</v>
      </c>
      <c r="AC58" s="81">
        <f t="shared" si="11"/>
        <v>0</v>
      </c>
      <c r="AD58" s="81">
        <f t="shared" si="11"/>
        <v>0</v>
      </c>
      <c r="AE58" s="81">
        <f t="shared" si="11"/>
        <v>0</v>
      </c>
      <c r="AF58" s="81">
        <f t="shared" si="11"/>
        <v>0</v>
      </c>
      <c r="AG58" s="81">
        <f t="shared" si="11"/>
        <v>0</v>
      </c>
      <c r="AH58" s="81">
        <f t="shared" si="11"/>
        <v>0</v>
      </c>
      <c r="AI58" s="81">
        <f t="shared" si="11"/>
        <v>0</v>
      </c>
      <c r="AJ58" s="81">
        <f t="shared" si="11"/>
        <v>0</v>
      </c>
      <c r="AK58" s="81">
        <f t="shared" si="11"/>
        <v>0</v>
      </c>
      <c r="AL58" s="84"/>
      <c r="AM58" s="84"/>
      <c r="AN58" s="84"/>
      <c r="AO58" s="84"/>
      <c r="AP58" s="84"/>
      <c r="AQ58" s="84"/>
      <c r="AR58" s="85"/>
    </row>
    <row r="59" spans="6:44" x14ac:dyDescent="0.25">
      <c r="F59" s="11"/>
      <c r="G59" s="77">
        <v>0</v>
      </c>
      <c r="H59" s="53">
        <v>5.5</v>
      </c>
      <c r="I59" s="81">
        <f t="shared" si="10"/>
        <v>0</v>
      </c>
      <c r="J59" s="81">
        <f t="shared" si="10"/>
        <v>0</v>
      </c>
      <c r="K59" s="81">
        <f t="shared" si="10"/>
        <v>0</v>
      </c>
      <c r="L59" s="81">
        <f t="shared" si="10"/>
        <v>0</v>
      </c>
      <c r="M59" s="81">
        <f t="shared" si="10"/>
        <v>0</v>
      </c>
      <c r="N59" s="81">
        <f t="shared" si="10"/>
        <v>0</v>
      </c>
      <c r="O59" s="81">
        <f t="shared" si="10"/>
        <v>0</v>
      </c>
      <c r="P59" s="81">
        <f t="shared" si="10"/>
        <v>0</v>
      </c>
      <c r="Q59" s="81">
        <f t="shared" si="10"/>
        <v>0</v>
      </c>
      <c r="R59" s="81">
        <f t="shared" si="10"/>
        <v>0</v>
      </c>
      <c r="S59" s="84"/>
      <c r="T59" s="84"/>
      <c r="U59" s="84"/>
      <c r="V59" s="84"/>
      <c r="W59" s="84"/>
      <c r="X59" s="85"/>
      <c r="Z59" s="11"/>
      <c r="AA59" s="77">
        <v>0</v>
      </c>
      <c r="AB59" s="53">
        <v>5.5</v>
      </c>
      <c r="AC59" s="81">
        <f t="shared" si="11"/>
        <v>0</v>
      </c>
      <c r="AD59" s="81">
        <f t="shared" si="11"/>
        <v>0</v>
      </c>
      <c r="AE59" s="81">
        <f t="shared" si="11"/>
        <v>0</v>
      </c>
      <c r="AF59" s="81">
        <f t="shared" si="11"/>
        <v>0</v>
      </c>
      <c r="AG59" s="81">
        <f t="shared" si="11"/>
        <v>0</v>
      </c>
      <c r="AH59" s="81">
        <f t="shared" si="11"/>
        <v>0</v>
      </c>
      <c r="AI59" s="81">
        <f t="shared" si="11"/>
        <v>0</v>
      </c>
      <c r="AJ59" s="81">
        <f t="shared" si="11"/>
        <v>0</v>
      </c>
      <c r="AK59" s="81">
        <f t="shared" si="11"/>
        <v>0</v>
      </c>
      <c r="AL59" s="81">
        <f t="shared" si="11"/>
        <v>0</v>
      </c>
      <c r="AM59" s="84"/>
      <c r="AN59" s="84"/>
      <c r="AO59" s="84"/>
      <c r="AP59" s="84"/>
      <c r="AQ59" s="84"/>
      <c r="AR59" s="85"/>
    </row>
    <row r="60" spans="6:44" x14ac:dyDescent="0.25">
      <c r="F60" s="11"/>
      <c r="G60" s="77">
        <v>0</v>
      </c>
      <c r="H60" s="53">
        <v>6</v>
      </c>
      <c r="I60" s="81">
        <f t="shared" si="10"/>
        <v>0</v>
      </c>
      <c r="J60" s="81">
        <f t="shared" si="10"/>
        <v>0</v>
      </c>
      <c r="K60" s="81">
        <f t="shared" si="10"/>
        <v>0</v>
      </c>
      <c r="L60" s="81">
        <f t="shared" si="10"/>
        <v>0</v>
      </c>
      <c r="M60" s="81">
        <f t="shared" si="10"/>
        <v>0</v>
      </c>
      <c r="N60" s="81">
        <f t="shared" si="10"/>
        <v>0</v>
      </c>
      <c r="O60" s="81">
        <f t="shared" si="10"/>
        <v>0</v>
      </c>
      <c r="P60" s="81">
        <f t="shared" si="10"/>
        <v>0</v>
      </c>
      <c r="Q60" s="81">
        <f t="shared" si="10"/>
        <v>0</v>
      </c>
      <c r="R60" s="81">
        <f t="shared" si="10"/>
        <v>0</v>
      </c>
      <c r="S60" s="81">
        <f t="shared" si="10"/>
        <v>0</v>
      </c>
      <c r="T60" s="84"/>
      <c r="U60" s="84"/>
      <c r="V60" s="84"/>
      <c r="W60" s="84"/>
      <c r="X60" s="85"/>
      <c r="Z60" s="11"/>
      <c r="AA60" s="77">
        <v>0</v>
      </c>
      <c r="AB60" s="53">
        <v>6</v>
      </c>
      <c r="AC60" s="81">
        <f t="shared" si="11"/>
        <v>0</v>
      </c>
      <c r="AD60" s="81">
        <f t="shared" si="11"/>
        <v>0</v>
      </c>
      <c r="AE60" s="81">
        <f t="shared" si="11"/>
        <v>0</v>
      </c>
      <c r="AF60" s="81">
        <f t="shared" si="11"/>
        <v>0</v>
      </c>
      <c r="AG60" s="81">
        <f t="shared" si="11"/>
        <v>0</v>
      </c>
      <c r="AH60" s="81">
        <f t="shared" si="11"/>
        <v>0</v>
      </c>
      <c r="AI60" s="81">
        <f t="shared" si="11"/>
        <v>0</v>
      </c>
      <c r="AJ60" s="81">
        <f t="shared" si="11"/>
        <v>0</v>
      </c>
      <c r="AK60" s="81">
        <f t="shared" si="11"/>
        <v>0</v>
      </c>
      <c r="AL60" s="81">
        <f t="shared" si="11"/>
        <v>0</v>
      </c>
      <c r="AM60" s="81">
        <f t="shared" si="11"/>
        <v>0</v>
      </c>
      <c r="AN60" s="84"/>
      <c r="AO60" s="84"/>
      <c r="AP60" s="84"/>
      <c r="AQ60" s="84"/>
      <c r="AR60" s="85"/>
    </row>
    <row r="61" spans="6:44" x14ac:dyDescent="0.25">
      <c r="F61" s="11"/>
      <c r="G61" s="77">
        <v>0</v>
      </c>
      <c r="H61" s="53">
        <v>6.5</v>
      </c>
      <c r="I61" s="81">
        <f t="shared" si="10"/>
        <v>0</v>
      </c>
      <c r="J61" s="81">
        <f t="shared" si="10"/>
        <v>0</v>
      </c>
      <c r="K61" s="81">
        <f t="shared" si="10"/>
        <v>0</v>
      </c>
      <c r="L61" s="81">
        <f t="shared" si="10"/>
        <v>0</v>
      </c>
      <c r="M61" s="81">
        <f t="shared" si="10"/>
        <v>0</v>
      </c>
      <c r="N61" s="81">
        <f t="shared" si="10"/>
        <v>0</v>
      </c>
      <c r="O61" s="81">
        <f t="shared" si="10"/>
        <v>0</v>
      </c>
      <c r="P61" s="81">
        <f t="shared" si="10"/>
        <v>0</v>
      </c>
      <c r="Q61" s="81">
        <f t="shared" si="10"/>
        <v>0</v>
      </c>
      <c r="R61" s="81">
        <f t="shared" si="10"/>
        <v>0</v>
      </c>
      <c r="S61" s="81">
        <f t="shared" si="10"/>
        <v>0</v>
      </c>
      <c r="T61" s="81">
        <f t="shared" si="10"/>
        <v>0</v>
      </c>
      <c r="U61" s="84"/>
      <c r="V61" s="84"/>
      <c r="W61" s="84"/>
      <c r="X61" s="85"/>
      <c r="Z61" s="11"/>
      <c r="AA61" s="77">
        <v>0</v>
      </c>
      <c r="AB61" s="53">
        <v>6.5</v>
      </c>
      <c r="AC61" s="81">
        <f t="shared" si="11"/>
        <v>0</v>
      </c>
      <c r="AD61" s="81">
        <f t="shared" si="11"/>
        <v>0</v>
      </c>
      <c r="AE61" s="81">
        <f t="shared" si="11"/>
        <v>0</v>
      </c>
      <c r="AF61" s="81">
        <f t="shared" si="11"/>
        <v>0</v>
      </c>
      <c r="AG61" s="81">
        <f t="shared" si="11"/>
        <v>0</v>
      </c>
      <c r="AH61" s="81">
        <f t="shared" si="11"/>
        <v>0</v>
      </c>
      <c r="AI61" s="81">
        <f t="shared" si="11"/>
        <v>0</v>
      </c>
      <c r="AJ61" s="81">
        <f t="shared" si="11"/>
        <v>0</v>
      </c>
      <c r="AK61" s="81">
        <f t="shared" si="11"/>
        <v>0</v>
      </c>
      <c r="AL61" s="81">
        <f t="shared" si="11"/>
        <v>0</v>
      </c>
      <c r="AM61" s="81">
        <f t="shared" si="11"/>
        <v>0</v>
      </c>
      <c r="AN61" s="81">
        <f t="shared" si="11"/>
        <v>0</v>
      </c>
      <c r="AO61" s="84"/>
      <c r="AP61" s="84"/>
      <c r="AQ61" s="84"/>
      <c r="AR61" s="85"/>
    </row>
    <row r="62" spans="6:44" x14ac:dyDescent="0.25">
      <c r="F62" s="11"/>
      <c r="G62" s="77">
        <v>0</v>
      </c>
      <c r="H62" s="53">
        <v>7</v>
      </c>
      <c r="I62" s="81">
        <f t="shared" si="10"/>
        <v>0</v>
      </c>
      <c r="J62" s="81">
        <f t="shared" si="10"/>
        <v>0</v>
      </c>
      <c r="K62" s="81">
        <f t="shared" si="10"/>
        <v>0</v>
      </c>
      <c r="L62" s="81">
        <f t="shared" si="10"/>
        <v>0</v>
      </c>
      <c r="M62" s="81">
        <f t="shared" si="10"/>
        <v>0</v>
      </c>
      <c r="N62" s="81">
        <f t="shared" si="10"/>
        <v>0</v>
      </c>
      <c r="O62" s="81">
        <f t="shared" si="10"/>
        <v>0</v>
      </c>
      <c r="P62" s="81">
        <f t="shared" si="10"/>
        <v>0</v>
      </c>
      <c r="Q62" s="81">
        <f t="shared" si="10"/>
        <v>0</v>
      </c>
      <c r="R62" s="81">
        <f t="shared" si="10"/>
        <v>0</v>
      </c>
      <c r="S62" s="81">
        <f t="shared" si="10"/>
        <v>0</v>
      </c>
      <c r="T62" s="81">
        <f t="shared" si="10"/>
        <v>0</v>
      </c>
      <c r="U62" s="81">
        <f t="shared" si="10"/>
        <v>0</v>
      </c>
      <c r="V62" s="84"/>
      <c r="W62" s="84"/>
      <c r="X62" s="85"/>
      <c r="Z62" s="11"/>
      <c r="AA62" s="77">
        <v>0</v>
      </c>
      <c r="AB62" s="53">
        <v>7</v>
      </c>
      <c r="AC62" s="81">
        <f t="shared" si="11"/>
        <v>0</v>
      </c>
      <c r="AD62" s="81">
        <f t="shared" si="11"/>
        <v>0</v>
      </c>
      <c r="AE62" s="81">
        <f t="shared" si="11"/>
        <v>0</v>
      </c>
      <c r="AF62" s="81">
        <f t="shared" si="11"/>
        <v>0</v>
      </c>
      <c r="AG62" s="81">
        <f t="shared" si="11"/>
        <v>0</v>
      </c>
      <c r="AH62" s="81">
        <f t="shared" si="11"/>
        <v>0</v>
      </c>
      <c r="AI62" s="81">
        <f t="shared" si="11"/>
        <v>0</v>
      </c>
      <c r="AJ62" s="81">
        <f t="shared" si="11"/>
        <v>0</v>
      </c>
      <c r="AK62" s="81">
        <f t="shared" si="11"/>
        <v>0</v>
      </c>
      <c r="AL62" s="81">
        <f t="shared" si="11"/>
        <v>0</v>
      </c>
      <c r="AM62" s="81">
        <f t="shared" si="11"/>
        <v>0</v>
      </c>
      <c r="AN62" s="81">
        <f t="shared" si="11"/>
        <v>0</v>
      </c>
      <c r="AO62" s="81">
        <f t="shared" si="11"/>
        <v>0</v>
      </c>
      <c r="AP62" s="84"/>
      <c r="AQ62" s="84"/>
      <c r="AR62" s="85"/>
    </row>
    <row r="63" spans="6:44" x14ac:dyDescent="0.25">
      <c r="F63" s="11"/>
      <c r="G63" s="77">
        <v>0</v>
      </c>
      <c r="H63" s="53">
        <v>7.5</v>
      </c>
      <c r="I63" s="81">
        <f t="shared" si="10"/>
        <v>0</v>
      </c>
      <c r="J63" s="81">
        <f t="shared" si="10"/>
        <v>0</v>
      </c>
      <c r="K63" s="81">
        <f t="shared" si="10"/>
        <v>0</v>
      </c>
      <c r="L63" s="81">
        <f t="shared" si="10"/>
        <v>0</v>
      </c>
      <c r="M63" s="81">
        <f t="shared" si="10"/>
        <v>0</v>
      </c>
      <c r="N63" s="81">
        <f t="shared" si="10"/>
        <v>0</v>
      </c>
      <c r="O63" s="81">
        <f t="shared" si="10"/>
        <v>0</v>
      </c>
      <c r="P63" s="81">
        <f t="shared" si="10"/>
        <v>0</v>
      </c>
      <c r="Q63" s="81">
        <f t="shared" si="10"/>
        <v>0</v>
      </c>
      <c r="R63" s="81">
        <f t="shared" si="10"/>
        <v>0</v>
      </c>
      <c r="S63" s="81">
        <f t="shared" si="10"/>
        <v>0</v>
      </c>
      <c r="T63" s="81">
        <f t="shared" si="10"/>
        <v>0</v>
      </c>
      <c r="U63" s="81">
        <f t="shared" si="10"/>
        <v>0</v>
      </c>
      <c r="V63" s="81">
        <f t="shared" si="10"/>
        <v>0</v>
      </c>
      <c r="W63" s="84"/>
      <c r="X63" s="85"/>
      <c r="Z63" s="11"/>
      <c r="AA63" s="77">
        <v>0</v>
      </c>
      <c r="AB63" s="53">
        <v>7.5</v>
      </c>
      <c r="AC63" s="81">
        <f t="shared" si="11"/>
        <v>0</v>
      </c>
      <c r="AD63" s="81">
        <f t="shared" si="11"/>
        <v>0</v>
      </c>
      <c r="AE63" s="81">
        <f t="shared" si="11"/>
        <v>0</v>
      </c>
      <c r="AF63" s="81">
        <f t="shared" si="11"/>
        <v>0</v>
      </c>
      <c r="AG63" s="81">
        <f t="shared" si="11"/>
        <v>0</v>
      </c>
      <c r="AH63" s="81">
        <f t="shared" si="11"/>
        <v>0</v>
      </c>
      <c r="AI63" s="81">
        <f t="shared" si="11"/>
        <v>0</v>
      </c>
      <c r="AJ63" s="81">
        <f t="shared" si="11"/>
        <v>0</v>
      </c>
      <c r="AK63" s="81">
        <f t="shared" si="11"/>
        <v>0</v>
      </c>
      <c r="AL63" s="81">
        <f t="shared" si="11"/>
        <v>0</v>
      </c>
      <c r="AM63" s="81">
        <f t="shared" si="11"/>
        <v>0</v>
      </c>
      <c r="AN63" s="81">
        <f t="shared" si="11"/>
        <v>0</v>
      </c>
      <c r="AO63" s="81">
        <f t="shared" si="11"/>
        <v>0</v>
      </c>
      <c r="AP63" s="81">
        <f t="shared" si="11"/>
        <v>0</v>
      </c>
      <c r="AQ63" s="84"/>
      <c r="AR63" s="85"/>
    </row>
    <row r="64" spans="6:44" ht="15.75" thickBot="1" x14ac:dyDescent="0.3">
      <c r="F64" s="13"/>
      <c r="G64" s="80">
        <v>0</v>
      </c>
      <c r="H64" s="56">
        <v>8</v>
      </c>
      <c r="I64" s="82">
        <f t="shared" si="10"/>
        <v>0</v>
      </c>
      <c r="J64" s="82">
        <f t="shared" si="10"/>
        <v>0</v>
      </c>
      <c r="K64" s="82">
        <f t="shared" si="10"/>
        <v>0</v>
      </c>
      <c r="L64" s="82">
        <f t="shared" si="10"/>
        <v>0</v>
      </c>
      <c r="M64" s="82">
        <f t="shared" si="10"/>
        <v>0</v>
      </c>
      <c r="N64" s="82">
        <f t="shared" si="10"/>
        <v>0</v>
      </c>
      <c r="O64" s="82">
        <f t="shared" si="10"/>
        <v>0</v>
      </c>
      <c r="P64" s="82">
        <f t="shared" si="10"/>
        <v>0</v>
      </c>
      <c r="Q64" s="82">
        <f t="shared" si="10"/>
        <v>0</v>
      </c>
      <c r="R64" s="82">
        <f t="shared" si="10"/>
        <v>0</v>
      </c>
      <c r="S64" s="82">
        <f t="shared" si="10"/>
        <v>0</v>
      </c>
      <c r="T64" s="82">
        <f t="shared" si="10"/>
        <v>0</v>
      </c>
      <c r="U64" s="82">
        <f t="shared" si="10"/>
        <v>0</v>
      </c>
      <c r="V64" s="82">
        <f t="shared" si="10"/>
        <v>0</v>
      </c>
      <c r="W64" s="82">
        <f t="shared" si="10"/>
        <v>0</v>
      </c>
      <c r="X64" s="86"/>
      <c r="Z64" s="13"/>
      <c r="AA64" s="80">
        <v>0</v>
      </c>
      <c r="AB64" s="56">
        <v>8</v>
      </c>
      <c r="AC64" s="82">
        <f t="shared" si="11"/>
        <v>0</v>
      </c>
      <c r="AD64" s="82">
        <f t="shared" si="11"/>
        <v>0</v>
      </c>
      <c r="AE64" s="82">
        <f t="shared" si="11"/>
        <v>0</v>
      </c>
      <c r="AF64" s="82">
        <f t="shared" si="11"/>
        <v>0</v>
      </c>
      <c r="AG64" s="82">
        <f t="shared" si="11"/>
        <v>0</v>
      </c>
      <c r="AH64" s="82">
        <f t="shared" si="11"/>
        <v>0</v>
      </c>
      <c r="AI64" s="82">
        <f t="shared" si="11"/>
        <v>0</v>
      </c>
      <c r="AJ64" s="82">
        <f t="shared" si="11"/>
        <v>0</v>
      </c>
      <c r="AK64" s="82">
        <f t="shared" si="11"/>
        <v>0</v>
      </c>
      <c r="AL64" s="82">
        <f t="shared" si="11"/>
        <v>0</v>
      </c>
      <c r="AM64" s="82">
        <f t="shared" si="11"/>
        <v>0</v>
      </c>
      <c r="AN64" s="82">
        <f t="shared" si="11"/>
        <v>0</v>
      </c>
      <c r="AO64" s="82">
        <f t="shared" si="11"/>
        <v>0</v>
      </c>
      <c r="AP64" s="82">
        <f t="shared" si="11"/>
        <v>0</v>
      </c>
      <c r="AQ64" s="82">
        <f t="shared" si="11"/>
        <v>0</v>
      </c>
      <c r="AR64" s="86"/>
    </row>
    <row r="65" spans="6:23" ht="15.75" thickBot="1" x14ac:dyDescent="0.3"/>
    <row r="66" spans="6:23" x14ac:dyDescent="0.25">
      <c r="F66" s="49" t="s">
        <v>21</v>
      </c>
      <c r="G66" s="9">
        <v>0</v>
      </c>
      <c r="H66" s="50">
        <v>1</v>
      </c>
      <c r="I66" s="50">
        <v>2</v>
      </c>
      <c r="J66" s="50">
        <v>3</v>
      </c>
      <c r="K66" s="50">
        <v>4</v>
      </c>
      <c r="L66" s="50">
        <v>5</v>
      </c>
      <c r="M66" s="50">
        <v>6</v>
      </c>
      <c r="N66" s="50">
        <v>7</v>
      </c>
      <c r="O66" s="50">
        <v>8</v>
      </c>
      <c r="P66" s="50">
        <v>9</v>
      </c>
      <c r="Q66" s="50">
        <v>10</v>
      </c>
      <c r="R66" s="50">
        <v>11</v>
      </c>
      <c r="S66" s="50">
        <v>12</v>
      </c>
      <c r="T66" s="50">
        <v>13</v>
      </c>
      <c r="U66" s="50">
        <v>14</v>
      </c>
      <c r="V66" s="50">
        <v>15</v>
      </c>
      <c r="W66" s="51">
        <v>16</v>
      </c>
    </row>
    <row r="67" spans="6:23" x14ac:dyDescent="0.25">
      <c r="F67" s="52" t="s">
        <v>149</v>
      </c>
      <c r="H67" s="53">
        <f>H66*$D$19</f>
        <v>0.5</v>
      </c>
      <c r="I67" s="53">
        <f t="shared" ref="I67:W67" si="12">I66*$D$19</f>
        <v>1</v>
      </c>
      <c r="J67" s="53">
        <f t="shared" si="12"/>
        <v>1.5</v>
      </c>
      <c r="K67" s="53">
        <f t="shared" si="12"/>
        <v>2</v>
      </c>
      <c r="L67" s="53">
        <f t="shared" si="12"/>
        <v>2.5</v>
      </c>
      <c r="M67" s="53">
        <f t="shared" si="12"/>
        <v>3</v>
      </c>
      <c r="N67" s="53">
        <f t="shared" si="12"/>
        <v>3.5</v>
      </c>
      <c r="O67" s="53">
        <f t="shared" si="12"/>
        <v>4</v>
      </c>
      <c r="P67" s="53">
        <f t="shared" si="12"/>
        <v>4.5</v>
      </c>
      <c r="Q67" s="53">
        <f t="shared" si="12"/>
        <v>5</v>
      </c>
      <c r="R67" s="53">
        <f t="shared" si="12"/>
        <v>5.5</v>
      </c>
      <c r="S67" s="53">
        <f t="shared" si="12"/>
        <v>6</v>
      </c>
      <c r="T67" s="53">
        <f t="shared" si="12"/>
        <v>6.5</v>
      </c>
      <c r="U67" s="53">
        <f t="shared" si="12"/>
        <v>7</v>
      </c>
      <c r="V67" s="53">
        <f t="shared" si="12"/>
        <v>7.5</v>
      </c>
      <c r="W67" s="54">
        <f t="shared" si="12"/>
        <v>8</v>
      </c>
    </row>
    <row r="68" spans="6:23" x14ac:dyDescent="0.25">
      <c r="F68" s="52" t="s">
        <v>150</v>
      </c>
      <c r="H68" s="53">
        <f>IF(H17&lt;=$D$21, IF(H17=$D$21, $D$17*$D$19*$D$20 + $D$17, $D$17*$D$19*$D$20), 0)</f>
        <v>1.7749999999999999</v>
      </c>
      <c r="I68" s="53">
        <f t="shared" ref="I68:W68" si="13">IF(I17&lt;=$D$21, IF(I17=$D$21, $D$17*$D$19*$D$20 + $D$17, $D$17*$D$19*$D$20), 0)</f>
        <v>1.7749999999999999</v>
      </c>
      <c r="J68" s="53">
        <f t="shared" si="13"/>
        <v>101.77500000000001</v>
      </c>
      <c r="K68" s="53">
        <f t="shared" si="13"/>
        <v>0</v>
      </c>
      <c r="L68" s="53">
        <f t="shared" si="13"/>
        <v>0</v>
      </c>
      <c r="M68" s="53">
        <f t="shared" si="13"/>
        <v>0</v>
      </c>
      <c r="N68" s="53">
        <f t="shared" si="13"/>
        <v>0</v>
      </c>
      <c r="O68" s="53">
        <f t="shared" si="13"/>
        <v>0</v>
      </c>
      <c r="P68" s="53">
        <f t="shared" si="13"/>
        <v>0</v>
      </c>
      <c r="Q68" s="53">
        <f t="shared" si="13"/>
        <v>0</v>
      </c>
      <c r="R68" s="53">
        <f t="shared" si="13"/>
        <v>0</v>
      </c>
      <c r="S68" s="53">
        <f t="shared" si="13"/>
        <v>0</v>
      </c>
      <c r="T68" s="53">
        <f t="shared" si="13"/>
        <v>0</v>
      </c>
      <c r="U68" s="53">
        <f t="shared" si="13"/>
        <v>0</v>
      </c>
      <c r="V68" s="53">
        <f t="shared" si="13"/>
        <v>0</v>
      </c>
      <c r="W68" s="54">
        <f t="shared" si="13"/>
        <v>0</v>
      </c>
    </row>
    <row r="69" spans="6:23" ht="15.75" thickBot="1" x14ac:dyDescent="0.3">
      <c r="F69" s="55" t="s">
        <v>151</v>
      </c>
      <c r="G69" s="14"/>
      <c r="H69" s="56" cm="1">
        <f t="array" ref="H69:W69">TRANSPOSE(INDEX(AC28:AR43, 0, MATCH($D$24, AC27:AR27, 0)))</f>
        <v>0</v>
      </c>
      <c r="I69" s="56">
        <v>0.99115948458075465</v>
      </c>
      <c r="J69" s="56">
        <v>0</v>
      </c>
      <c r="K69" s="56">
        <v>0</v>
      </c>
      <c r="L69" s="56">
        <v>0</v>
      </c>
      <c r="M69" s="56">
        <v>0</v>
      </c>
      <c r="N69" s="56">
        <v>0</v>
      </c>
      <c r="O69" s="56">
        <v>0</v>
      </c>
      <c r="P69" s="56">
        <v>0</v>
      </c>
      <c r="Q69" s="56">
        <v>0</v>
      </c>
      <c r="R69" s="56">
        <v>0</v>
      </c>
      <c r="S69" s="56">
        <v>0</v>
      </c>
      <c r="T69" s="56">
        <v>0</v>
      </c>
      <c r="U69" s="56">
        <v>0</v>
      </c>
      <c r="V69" s="56">
        <v>0</v>
      </c>
      <c r="W69" s="132">
        <v>0</v>
      </c>
    </row>
    <row r="70" spans="6:23" ht="15.75" thickBot="1" x14ac:dyDescent="0.3"/>
    <row r="71" spans="6:23" x14ac:dyDescent="0.25">
      <c r="F71" s="49" t="s">
        <v>153</v>
      </c>
      <c r="G71" s="9"/>
      <c r="H71" s="90">
        <f>SUMPRODUCT(H68:W68, H69:W69)</f>
        <v>1.7593080851308394</v>
      </c>
    </row>
    <row r="72" spans="6:23" ht="15.75" thickBot="1" x14ac:dyDescent="0.3">
      <c r="F72" s="55" t="s">
        <v>154</v>
      </c>
      <c r="G72" s="14"/>
      <c r="H72" s="92">
        <f>H71*H23</f>
        <v>1.7178449999999998</v>
      </c>
    </row>
  </sheetData>
  <mergeCells count="4">
    <mergeCell ref="B2:D2"/>
    <mergeCell ref="B5:E5"/>
    <mergeCell ref="B14:G14"/>
    <mergeCell ref="H22:J22"/>
  </mergeCells>
  <conditionalFormatting sqref="H64 X64 AB64 AR64">
    <cfRule type="expression" dxfId="33" priority="10">
      <formula>AND(#REF!=$D$14+$D$9, I$17=$D$13+$D$9)</formula>
    </cfRule>
  </conditionalFormatting>
  <conditionalFormatting sqref="H23:W23">
    <cfRule type="expression" dxfId="32" priority="6">
      <formula>H17&gt;$D$10</formula>
    </cfRule>
    <cfRule type="expression" dxfId="31" priority="7">
      <formula>H17&gt;$D$10</formula>
    </cfRule>
  </conditionalFormatting>
  <conditionalFormatting sqref="H19:W19">
    <cfRule type="expression" dxfId="30" priority="27">
      <formula>H17&lt;=$D$21</formula>
    </cfRule>
    <cfRule type="expression" dxfId="29" priority="28">
      <formula>H17&gt;$D$21</formula>
    </cfRule>
  </conditionalFormatting>
  <conditionalFormatting sqref="I28:X43">
    <cfRule type="expression" dxfId="28" priority="29">
      <formula>AND($H28=$D$25, I$27 = $D$24)</formula>
    </cfRule>
  </conditionalFormatting>
  <conditionalFormatting sqref="I49:X64">
    <cfRule type="expression" dxfId="27" priority="30">
      <formula>AND($H49=$D$25, I$48=$D$24)</formula>
    </cfRule>
  </conditionalFormatting>
  <conditionalFormatting sqref="AC28:AR43">
    <cfRule type="expression" dxfId="26" priority="31">
      <formula>AND($AB28=$D$25, AC$27=$D$24)</formula>
    </cfRule>
  </conditionalFormatting>
  <conditionalFormatting sqref="AC49:AR64">
    <cfRule type="expression" dxfId="25" priority="32">
      <formula>AND($AB49=$D$25, AC$48=$D$24)</formula>
    </cfRule>
  </conditionalFormatting>
  <dataValidations count="2">
    <dataValidation type="list" allowBlank="1" showInputMessage="1" showErrorMessage="1" sqref="G45" xr:uid="{4522B5DB-9A5C-44FD-8722-05241AA45603}">
      <formula1>"1,2,4,Cont"</formula1>
    </dataValidation>
    <dataValidation type="list" allowBlank="1" showInputMessage="1" showErrorMessage="1" sqref="D18" xr:uid="{B039D0BC-8F66-4FAA-9A41-FE23FC53E3D8}">
      <formula1>"1,2,4,Continuous"</formula1>
    </dataValidation>
  </dataValidations>
  <hyperlinks>
    <hyperlink ref="H22" location="'Rate and discount'!B27" display="'Rate and discount'!B27" xr:uid="{F9320250-2191-40C8-B03F-F96936D15183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E7B611-7607-46F7-BB33-9888887E235D}">
  <sheetPr codeName="Sheet5"/>
  <dimension ref="A1:BL110"/>
  <sheetViews>
    <sheetView topLeftCell="I21" workbookViewId="0">
      <selection activeCell="B6" sqref="B6:AR54"/>
    </sheetView>
  </sheetViews>
  <sheetFormatPr defaultRowHeight="15" x14ac:dyDescent="0.25"/>
  <cols>
    <col min="2" max="2" width="22.28515625" bestFit="1" customWidth="1"/>
    <col min="4" max="4" width="10" bestFit="1" customWidth="1"/>
    <col min="6" max="6" width="12" bestFit="1" customWidth="1"/>
    <col min="26" max="26" width="11.85546875" bestFit="1" customWidth="1"/>
  </cols>
  <sheetData>
    <row r="1" spans="1:64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</row>
    <row r="2" spans="1:64" ht="20.25" thickBot="1" x14ac:dyDescent="0.35">
      <c r="A2" s="1"/>
      <c r="B2" s="153" t="s">
        <v>90</v>
      </c>
      <c r="C2" s="153"/>
      <c r="D2" s="153"/>
      <c r="E2" s="153"/>
      <c r="F2" s="153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</row>
    <row r="3" spans="1:64" ht="15.75" thickTop="1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</row>
    <row r="4" spans="1:64" ht="18" thickBot="1" x14ac:dyDescent="0.35">
      <c r="A4" s="1"/>
      <c r="B4" s="147" t="s">
        <v>98</v>
      </c>
      <c r="C4" s="147"/>
      <c r="D4" s="147"/>
      <c r="E4" s="147"/>
      <c r="F4" s="147"/>
      <c r="G4" s="147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</row>
    <row r="5" spans="1:64" ht="15.75" thickTop="1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</row>
    <row r="6" spans="1:64" ht="15.75" thickBot="1" x14ac:dyDescent="0.3">
      <c r="A6" s="1"/>
      <c r="B6" s="1" t="s">
        <v>3</v>
      </c>
      <c r="C6" s="1"/>
      <c r="D6" s="1"/>
      <c r="E6" s="1"/>
      <c r="F6" s="1" t="s">
        <v>15</v>
      </c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</row>
    <row r="7" spans="1:64" x14ac:dyDescent="0.25">
      <c r="A7" s="1"/>
      <c r="B7" s="8" t="s">
        <v>19</v>
      </c>
      <c r="C7" s="9" t="s">
        <v>5</v>
      </c>
      <c r="D7" s="21">
        <v>100000000</v>
      </c>
      <c r="E7" s="1"/>
      <c r="F7" s="8" t="s">
        <v>21</v>
      </c>
      <c r="G7" s="9">
        <v>0</v>
      </c>
      <c r="H7" s="9">
        <v>1</v>
      </c>
      <c r="I7" s="9">
        <v>2</v>
      </c>
      <c r="J7" s="9">
        <v>3</v>
      </c>
      <c r="K7" s="9">
        <v>4</v>
      </c>
      <c r="L7" s="9">
        <v>5</v>
      </c>
      <c r="M7" s="9">
        <v>6</v>
      </c>
      <c r="N7" s="9">
        <v>7</v>
      </c>
      <c r="O7" s="9">
        <v>8</v>
      </c>
      <c r="P7" s="9">
        <v>9</v>
      </c>
      <c r="Q7" s="9">
        <v>10</v>
      </c>
      <c r="R7" s="9">
        <v>11</v>
      </c>
      <c r="S7" s="9">
        <v>12</v>
      </c>
      <c r="T7" s="9">
        <v>13</v>
      </c>
      <c r="U7" s="9">
        <v>14</v>
      </c>
      <c r="V7" s="9">
        <v>15</v>
      </c>
      <c r="W7" s="10">
        <v>16</v>
      </c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</row>
    <row r="8" spans="1:64" x14ac:dyDescent="0.25">
      <c r="A8" s="1"/>
      <c r="B8" s="11" t="s">
        <v>8</v>
      </c>
      <c r="C8" s="1" t="s">
        <v>9</v>
      </c>
      <c r="D8" s="23">
        <v>2</v>
      </c>
      <c r="E8" s="1"/>
      <c r="F8" s="11" t="s">
        <v>22</v>
      </c>
      <c r="G8" s="1"/>
      <c r="H8" s="1" cm="1">
        <f t="array" ref="H8">IF(TYPE($D$9)=1, $D$9*H7, Cont)</f>
        <v>0.5</v>
      </c>
      <c r="I8" s="1" cm="1">
        <f t="array" ref="I8">IF(TYPE($D$9)=1, $D$9*I7, Cont)</f>
        <v>1</v>
      </c>
      <c r="J8" s="1" cm="1">
        <f t="array" ref="J8">IF(TYPE($D$9)=1, $D$9*J7, Cont)</f>
        <v>1.5</v>
      </c>
      <c r="K8" s="1" cm="1">
        <f t="array" ref="K8">IF(TYPE($D$9)=1, $D$9*K7, Cont)</f>
        <v>2</v>
      </c>
      <c r="L8" s="1" cm="1">
        <f t="array" ref="L8">IF(TYPE($D$9)=1, $D$9*L7, Cont)</f>
        <v>2.5</v>
      </c>
      <c r="M8" s="1" cm="1">
        <f t="array" ref="M8">IF(TYPE($D$9)=1, $D$9*M7, Cont)</f>
        <v>3</v>
      </c>
      <c r="N8" s="1" cm="1">
        <f t="array" ref="N8">IF(TYPE($D$9)=1, $D$9*N7, Cont)</f>
        <v>3.5</v>
      </c>
      <c r="O8" s="1" cm="1">
        <f t="array" ref="O8">IF(TYPE($D$9)=1, $D$9*O7, Cont)</f>
        <v>4</v>
      </c>
      <c r="P8" s="1" cm="1">
        <f t="array" ref="P8">IF(TYPE($D$9)=1, $D$9*P7, Cont)</f>
        <v>4.5</v>
      </c>
      <c r="Q8" s="1" cm="1">
        <f t="array" ref="Q8">IF(TYPE($D$9)=1, $D$9*Q7, Cont)</f>
        <v>5</v>
      </c>
      <c r="R8" s="1" cm="1">
        <f t="array" ref="R8">IF(TYPE($D$9)=1, $D$9*R7, Cont)</f>
        <v>5.5</v>
      </c>
      <c r="S8" s="1" cm="1">
        <f t="array" ref="S8">IF(TYPE($D$9)=1, $D$9*S7, Cont)</f>
        <v>6</v>
      </c>
      <c r="T8" s="1" cm="1">
        <f t="array" ref="T8">IF(TYPE($D$9)=1, $D$9*T7, Cont)</f>
        <v>6.5</v>
      </c>
      <c r="U8" s="1" cm="1">
        <f t="array" ref="U8">IF(TYPE($D$9)=1, $D$9*U7, Cont)</f>
        <v>7</v>
      </c>
      <c r="V8" s="1" cm="1">
        <f t="array" ref="V8">IF(TYPE($D$9)=1, $D$9*V7, Cont)</f>
        <v>7.5</v>
      </c>
      <c r="W8" s="12" cm="1">
        <f t="array" ref="W8">IF(TYPE($D$9)=1, $D$9*W7, Cont)</f>
        <v>8</v>
      </c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</row>
    <row r="9" spans="1:64" ht="15.75" thickBot="1" x14ac:dyDescent="0.3">
      <c r="A9" s="1"/>
      <c r="B9" s="11" t="s">
        <v>20</v>
      </c>
      <c r="C9" s="15" t="s">
        <v>11</v>
      </c>
      <c r="D9" s="6">
        <f>1/D8</f>
        <v>0.5</v>
      </c>
      <c r="E9" s="1"/>
      <c r="F9" s="13" t="s">
        <v>91</v>
      </c>
      <c r="G9" s="72">
        <v>1</v>
      </c>
      <c r="H9" s="70">
        <v>0.97870000000000001</v>
      </c>
      <c r="I9" s="70">
        <v>0.95709999999999995</v>
      </c>
      <c r="J9" s="70">
        <v>0.93610000000000004</v>
      </c>
      <c r="K9" s="70"/>
      <c r="L9" s="70"/>
      <c r="M9" s="70"/>
      <c r="N9" s="70"/>
      <c r="O9" s="70"/>
      <c r="P9" s="70"/>
      <c r="Q9" s="70"/>
      <c r="R9" s="70"/>
      <c r="S9" s="70"/>
      <c r="T9" s="70"/>
      <c r="U9" s="70"/>
      <c r="V9" s="70"/>
      <c r="W9" s="7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</row>
    <row r="10" spans="1:64" ht="15.75" thickBot="1" x14ac:dyDescent="0.3">
      <c r="A10" s="1"/>
      <c r="B10" s="13" t="s">
        <v>61</v>
      </c>
      <c r="C10" s="14"/>
      <c r="D10" s="25">
        <v>3</v>
      </c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</row>
    <row r="11" spans="1:64" ht="15.75" thickBot="1" x14ac:dyDescent="0.3">
      <c r="A11" s="1"/>
      <c r="B11" s="1"/>
      <c r="C11" s="1"/>
      <c r="D11" s="1"/>
      <c r="E11" s="1"/>
      <c r="F11" s="1" t="s">
        <v>99</v>
      </c>
      <c r="G11" s="1"/>
      <c r="H11" s="18">
        <v>0</v>
      </c>
      <c r="I11" s="1" t="s">
        <v>14</v>
      </c>
      <c r="J11" s="143" t="s">
        <v>158</v>
      </c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</row>
    <row r="12" spans="1:64" ht="15.75" thickBot="1" x14ac:dyDescent="0.3">
      <c r="A12" s="1"/>
      <c r="B12" s="8" t="s">
        <v>103</v>
      </c>
      <c r="C12" s="9"/>
      <c r="D12" s="21">
        <v>0.5</v>
      </c>
      <c r="E12" s="1"/>
      <c r="F12" s="1" t="s">
        <v>104</v>
      </c>
      <c r="G12" s="1"/>
      <c r="H12" s="154" t="s">
        <v>100</v>
      </c>
      <c r="I12" s="154"/>
      <c r="J12" s="154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</row>
    <row r="13" spans="1:64" ht="15.75" thickBot="1" x14ac:dyDescent="0.3">
      <c r="A13" s="1"/>
      <c r="B13" s="11" t="s">
        <v>93</v>
      </c>
      <c r="C13" s="1"/>
      <c r="D13" s="24">
        <v>0.5</v>
      </c>
      <c r="E13" s="1"/>
      <c r="F13" s="43" t="s">
        <v>64</v>
      </c>
      <c r="G13" s="121">
        <v>1</v>
      </c>
      <c r="H13" s="121">
        <f>IF(H9&gt;0, ($H$11/360/$D$9)*G9+(($D$9-($H$11/360))/$D$9)*H9, 0)</f>
        <v>0.97870000000000001</v>
      </c>
      <c r="I13" s="121">
        <f t="shared" ref="I13:W13" si="0">IF(I9&gt;0, ($H$11/360/$D$9)*H9+(($D$9-($H$11/360))/$D$9)*I9, 0)</f>
        <v>0.95709999999999995</v>
      </c>
      <c r="J13" s="121">
        <f t="shared" si="0"/>
        <v>0.93610000000000004</v>
      </c>
      <c r="K13" s="121">
        <f t="shared" si="0"/>
        <v>0</v>
      </c>
      <c r="L13" s="120">
        <f t="shared" si="0"/>
        <v>0</v>
      </c>
      <c r="M13" s="120">
        <f t="shared" si="0"/>
        <v>0</v>
      </c>
      <c r="N13" s="120">
        <f t="shared" si="0"/>
        <v>0</v>
      </c>
      <c r="O13" s="120">
        <f t="shared" si="0"/>
        <v>0</v>
      </c>
      <c r="P13" s="120">
        <f t="shared" si="0"/>
        <v>0</v>
      </c>
      <c r="Q13" s="120">
        <f t="shared" si="0"/>
        <v>0</v>
      </c>
      <c r="R13" s="120">
        <f t="shared" si="0"/>
        <v>0</v>
      </c>
      <c r="S13" s="120">
        <f t="shared" si="0"/>
        <v>0</v>
      </c>
      <c r="T13" s="120">
        <f t="shared" si="0"/>
        <v>0</v>
      </c>
      <c r="U13" s="120">
        <f t="shared" si="0"/>
        <v>0</v>
      </c>
      <c r="V13" s="120">
        <f t="shared" si="0"/>
        <v>0</v>
      </c>
      <c r="W13" s="120">
        <f t="shared" si="0"/>
        <v>0</v>
      </c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</row>
    <row r="14" spans="1:64" ht="15.75" thickBot="1" x14ac:dyDescent="0.3">
      <c r="A14" s="1"/>
      <c r="B14" s="13" t="s">
        <v>94</v>
      </c>
      <c r="C14" s="14"/>
      <c r="D14" s="25">
        <v>1</v>
      </c>
      <c r="E14" s="1"/>
      <c r="F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</row>
    <row r="15" spans="1:64" ht="15.75" thickBot="1" x14ac:dyDescent="0.3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</row>
    <row r="16" spans="1:64" x14ac:dyDescent="0.25">
      <c r="A16" s="1"/>
      <c r="B16" s="1"/>
      <c r="C16" s="1"/>
      <c r="D16" s="1"/>
      <c r="E16" s="1"/>
      <c r="F16" s="89" t="s">
        <v>92</v>
      </c>
      <c r="G16" s="9" t="s">
        <v>93</v>
      </c>
      <c r="H16" s="78">
        <v>1</v>
      </c>
      <c r="I16" s="78" cm="1">
        <f t="array" ref="I16:X16">H9:W9</f>
        <v>0.97870000000000001</v>
      </c>
      <c r="J16" s="78">
        <v>0.95709999999999995</v>
      </c>
      <c r="K16" s="78">
        <v>0.93610000000000004</v>
      </c>
      <c r="L16" s="78">
        <v>0</v>
      </c>
      <c r="M16" s="78">
        <v>0</v>
      </c>
      <c r="N16" s="78">
        <v>0</v>
      </c>
      <c r="O16" s="78">
        <v>0</v>
      </c>
      <c r="P16" s="78">
        <v>0</v>
      </c>
      <c r="Q16" s="78">
        <v>0</v>
      </c>
      <c r="R16" s="78">
        <v>0</v>
      </c>
      <c r="S16" s="78">
        <v>0</v>
      </c>
      <c r="T16" s="78">
        <v>0</v>
      </c>
      <c r="U16" s="78">
        <v>0</v>
      </c>
      <c r="V16" s="78">
        <v>0</v>
      </c>
      <c r="W16" s="78">
        <v>0</v>
      </c>
      <c r="X16" s="79">
        <v>0</v>
      </c>
      <c r="Y16" s="1"/>
      <c r="Z16" s="89" t="s">
        <v>101</v>
      </c>
      <c r="AA16" s="9" t="s">
        <v>93</v>
      </c>
      <c r="AB16" s="78">
        <v>1</v>
      </c>
      <c r="AC16" s="78">
        <f>H13</f>
        <v>0.97870000000000001</v>
      </c>
      <c r="AD16" s="78">
        <f t="shared" ref="AD16:AR16" si="1">I13</f>
        <v>0.95709999999999995</v>
      </c>
      <c r="AE16" s="78">
        <f t="shared" si="1"/>
        <v>0.93610000000000004</v>
      </c>
      <c r="AF16" s="78">
        <f t="shared" si="1"/>
        <v>0</v>
      </c>
      <c r="AG16" s="78">
        <f t="shared" si="1"/>
        <v>0</v>
      </c>
      <c r="AH16" s="78">
        <f t="shared" si="1"/>
        <v>0</v>
      </c>
      <c r="AI16" s="78">
        <f t="shared" si="1"/>
        <v>0</v>
      </c>
      <c r="AJ16" s="78">
        <f t="shared" si="1"/>
        <v>0</v>
      </c>
      <c r="AK16" s="78">
        <f t="shared" si="1"/>
        <v>0</v>
      </c>
      <c r="AL16" s="78">
        <f t="shared" si="1"/>
        <v>0</v>
      </c>
      <c r="AM16" s="78">
        <f t="shared" si="1"/>
        <v>0</v>
      </c>
      <c r="AN16" s="78">
        <f t="shared" si="1"/>
        <v>0</v>
      </c>
      <c r="AO16" s="78">
        <f t="shared" si="1"/>
        <v>0</v>
      </c>
      <c r="AP16" s="78">
        <f t="shared" si="1"/>
        <v>0</v>
      </c>
      <c r="AQ16" s="78">
        <f t="shared" si="1"/>
        <v>0</v>
      </c>
      <c r="AR16" s="79">
        <f t="shared" si="1"/>
        <v>0</v>
      </c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</row>
    <row r="17" spans="1:64" x14ac:dyDescent="0.25">
      <c r="A17" s="1"/>
      <c r="B17" s="1"/>
      <c r="C17" s="1"/>
      <c r="D17" s="1"/>
      <c r="E17" s="1"/>
      <c r="F17" s="5" t="s">
        <v>94</v>
      </c>
      <c r="G17" s="77">
        <v>1</v>
      </c>
      <c r="H17" s="53">
        <f t="shared" ref="H17:X17" si="2">G8</f>
        <v>0</v>
      </c>
      <c r="I17" s="53">
        <f t="shared" si="2"/>
        <v>0.5</v>
      </c>
      <c r="J17" s="53">
        <f t="shared" si="2"/>
        <v>1</v>
      </c>
      <c r="K17" s="53">
        <f t="shared" si="2"/>
        <v>1.5</v>
      </c>
      <c r="L17" s="53">
        <f t="shared" si="2"/>
        <v>2</v>
      </c>
      <c r="M17" s="53">
        <f t="shared" si="2"/>
        <v>2.5</v>
      </c>
      <c r="N17" s="53">
        <f t="shared" si="2"/>
        <v>3</v>
      </c>
      <c r="O17" s="53">
        <f t="shared" si="2"/>
        <v>3.5</v>
      </c>
      <c r="P17" s="53">
        <f t="shared" si="2"/>
        <v>4</v>
      </c>
      <c r="Q17" s="53">
        <f t="shared" si="2"/>
        <v>4.5</v>
      </c>
      <c r="R17" s="53">
        <f t="shared" si="2"/>
        <v>5</v>
      </c>
      <c r="S17" s="53">
        <f t="shared" si="2"/>
        <v>5.5</v>
      </c>
      <c r="T17" s="53">
        <f t="shared" si="2"/>
        <v>6</v>
      </c>
      <c r="U17" s="53">
        <f t="shared" si="2"/>
        <v>6.5</v>
      </c>
      <c r="V17" s="53">
        <f t="shared" si="2"/>
        <v>7</v>
      </c>
      <c r="W17" s="53">
        <f t="shared" si="2"/>
        <v>7.5</v>
      </c>
      <c r="X17" s="54">
        <f t="shared" si="2"/>
        <v>8</v>
      </c>
      <c r="Y17" s="1"/>
      <c r="Z17" s="5" t="s">
        <v>94</v>
      </c>
      <c r="AA17" s="77">
        <v>1</v>
      </c>
      <c r="AB17" s="53">
        <f>AA8</f>
        <v>0</v>
      </c>
      <c r="AC17" s="53">
        <f>H8</f>
        <v>0.5</v>
      </c>
      <c r="AD17" s="53">
        <f t="shared" ref="AD17:AR17" si="3">I8</f>
        <v>1</v>
      </c>
      <c r="AE17" s="53">
        <f t="shared" si="3"/>
        <v>1.5</v>
      </c>
      <c r="AF17" s="53">
        <f t="shared" si="3"/>
        <v>2</v>
      </c>
      <c r="AG17" s="53">
        <f t="shared" si="3"/>
        <v>2.5</v>
      </c>
      <c r="AH17" s="53">
        <f t="shared" si="3"/>
        <v>3</v>
      </c>
      <c r="AI17" s="53">
        <f t="shared" si="3"/>
        <v>3.5</v>
      </c>
      <c r="AJ17" s="53">
        <f t="shared" si="3"/>
        <v>4</v>
      </c>
      <c r="AK17" s="53">
        <f t="shared" si="3"/>
        <v>4.5</v>
      </c>
      <c r="AL17" s="53">
        <f t="shared" si="3"/>
        <v>5</v>
      </c>
      <c r="AM17" s="53">
        <f t="shared" si="3"/>
        <v>5.5</v>
      </c>
      <c r="AN17" s="53">
        <f t="shared" si="3"/>
        <v>6</v>
      </c>
      <c r="AO17" s="53">
        <f t="shared" si="3"/>
        <v>6.5</v>
      </c>
      <c r="AP17" s="53">
        <f t="shared" si="3"/>
        <v>7</v>
      </c>
      <c r="AQ17" s="53">
        <f t="shared" si="3"/>
        <v>7.5</v>
      </c>
      <c r="AR17" s="54">
        <f t="shared" si="3"/>
        <v>8</v>
      </c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</row>
    <row r="18" spans="1:64" x14ac:dyDescent="0.25">
      <c r="A18" s="1"/>
      <c r="B18" s="1"/>
      <c r="C18" s="1"/>
      <c r="D18" s="1"/>
      <c r="E18" s="1"/>
      <c r="F18" s="11"/>
      <c r="G18" s="77">
        <f t="array" ref="G18:G33">TRANSPOSE(H9:W9)</f>
        <v>0.97870000000000001</v>
      </c>
      <c r="H18" s="53">
        <f t="array" ref="H18:H33">TRANSPOSE($I$17:$X$17)</f>
        <v>0.5</v>
      </c>
      <c r="I18" s="83"/>
      <c r="J18" s="87"/>
      <c r="K18" s="87"/>
      <c r="L18" s="87"/>
      <c r="M18" s="87"/>
      <c r="N18" s="87"/>
      <c r="O18" s="87"/>
      <c r="P18" s="87"/>
      <c r="Q18" s="87"/>
      <c r="R18" s="87"/>
      <c r="S18" s="87"/>
      <c r="T18" s="87"/>
      <c r="U18" s="87"/>
      <c r="V18" s="87"/>
      <c r="W18" s="87"/>
      <c r="X18" s="88"/>
      <c r="Y18" s="1"/>
      <c r="Z18" s="11"/>
      <c r="AA18" s="77">
        <f t="array" ref="AA18:AA33">TRANSPOSE(H13:W13)</f>
        <v>0.97870000000000001</v>
      </c>
      <c r="AB18" s="53">
        <f t="array" ref="AB18:AB33">TRANSPOSE($I$17:$X$17)</f>
        <v>0.5</v>
      </c>
      <c r="AC18" s="83"/>
      <c r="AD18" s="87"/>
      <c r="AE18" s="87"/>
      <c r="AF18" s="87"/>
      <c r="AG18" s="87"/>
      <c r="AH18" s="87"/>
      <c r="AI18" s="87"/>
      <c r="AJ18" s="87"/>
      <c r="AK18" s="87"/>
      <c r="AL18" s="87"/>
      <c r="AM18" s="87"/>
      <c r="AN18" s="87"/>
      <c r="AO18" s="87"/>
      <c r="AP18" s="87"/>
      <c r="AQ18" s="87"/>
      <c r="AR18" s="88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</row>
    <row r="19" spans="1:64" x14ac:dyDescent="0.25">
      <c r="A19" s="1"/>
      <c r="B19" s="1"/>
      <c r="C19" s="1"/>
      <c r="D19" s="1"/>
      <c r="E19" s="1"/>
      <c r="F19" s="5"/>
      <c r="G19" s="77">
        <v>0.95709999999999995</v>
      </c>
      <c r="H19" s="53">
        <v>1</v>
      </c>
      <c r="I19" s="81">
        <f>IF(G19&gt;0, G19/$I$16, 0)</f>
        <v>0.97792990701951565</v>
      </c>
      <c r="J19" s="84"/>
      <c r="K19" s="84"/>
      <c r="L19" s="84"/>
      <c r="M19" s="84"/>
      <c r="N19" s="84"/>
      <c r="O19" s="84"/>
      <c r="P19" s="84"/>
      <c r="Q19" s="84"/>
      <c r="R19" s="84"/>
      <c r="S19" s="84"/>
      <c r="T19" s="84"/>
      <c r="U19" s="84"/>
      <c r="V19" s="84"/>
      <c r="W19" s="84"/>
      <c r="X19" s="85"/>
      <c r="Y19" s="1"/>
      <c r="Z19" s="5"/>
      <c r="AA19" s="77">
        <v>0.95709999999999995</v>
      </c>
      <c r="AB19" s="53">
        <v>1</v>
      </c>
      <c r="AC19" s="81">
        <f>IF($AA19&gt;0, $AA19/AC$16, 0)</f>
        <v>0.97792990701951565</v>
      </c>
      <c r="AD19" s="84"/>
      <c r="AE19" s="84"/>
      <c r="AF19" s="84"/>
      <c r="AG19" s="84"/>
      <c r="AH19" s="84"/>
      <c r="AI19" s="84"/>
      <c r="AJ19" s="84"/>
      <c r="AK19" s="84"/>
      <c r="AL19" s="84"/>
      <c r="AM19" s="84"/>
      <c r="AN19" s="84"/>
      <c r="AO19" s="84"/>
      <c r="AP19" s="84"/>
      <c r="AQ19" s="84"/>
      <c r="AR19" s="85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</row>
    <row r="20" spans="1:64" x14ac:dyDescent="0.25">
      <c r="A20" s="1"/>
      <c r="B20" s="1"/>
      <c r="C20" s="1"/>
      <c r="D20" s="1"/>
      <c r="E20" s="1"/>
      <c r="F20" s="11"/>
      <c r="G20" s="77">
        <v>0.93610000000000004</v>
      </c>
      <c r="H20" s="53">
        <v>1.5</v>
      </c>
      <c r="I20" s="81">
        <f t="shared" ref="I20:I33" si="4">IF(G20&gt;0, G20/$I$16, 0)</f>
        <v>0.9564728721773782</v>
      </c>
      <c r="J20" s="1">
        <f>IF(G20&gt;0, G20/$J$16, 0)</f>
        <v>0.97805871904712161</v>
      </c>
      <c r="K20" s="84"/>
      <c r="L20" s="84"/>
      <c r="M20" s="84"/>
      <c r="N20" s="84"/>
      <c r="O20" s="84"/>
      <c r="P20" s="84"/>
      <c r="Q20" s="84"/>
      <c r="R20" s="84"/>
      <c r="S20" s="84"/>
      <c r="T20" s="84"/>
      <c r="U20" s="84"/>
      <c r="V20" s="84"/>
      <c r="W20" s="84"/>
      <c r="X20" s="85"/>
      <c r="Y20" s="1"/>
      <c r="Z20" s="11"/>
      <c r="AA20" s="77">
        <v>0.93610000000000004</v>
      </c>
      <c r="AB20" s="53">
        <v>1.5</v>
      </c>
      <c r="AC20" s="81">
        <f t="shared" ref="AC20:AQ33" si="5">IF($AA20&gt;0, $AA20/AC$16, 0)</f>
        <v>0.9564728721773782</v>
      </c>
      <c r="AD20" s="81">
        <f t="shared" si="5"/>
        <v>0.97805871904712161</v>
      </c>
      <c r="AE20" s="84"/>
      <c r="AF20" s="84"/>
      <c r="AG20" s="84"/>
      <c r="AH20" s="84"/>
      <c r="AI20" s="84"/>
      <c r="AJ20" s="84"/>
      <c r="AK20" s="84"/>
      <c r="AL20" s="84"/>
      <c r="AM20" s="84"/>
      <c r="AN20" s="84"/>
      <c r="AO20" s="84"/>
      <c r="AP20" s="84"/>
      <c r="AQ20" s="84"/>
      <c r="AR20" s="85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</row>
    <row r="21" spans="1:64" x14ac:dyDescent="0.25">
      <c r="A21" s="1"/>
      <c r="B21" s="1"/>
      <c r="C21" s="1"/>
      <c r="D21" s="1"/>
      <c r="E21" s="1"/>
      <c r="F21" s="11"/>
      <c r="G21" s="77">
        <v>0</v>
      </c>
      <c r="H21" s="53">
        <v>2</v>
      </c>
      <c r="I21" s="81">
        <f t="shared" si="4"/>
        <v>0</v>
      </c>
      <c r="J21" s="1">
        <f t="shared" ref="J21:J33" si="6">IF(G21&gt;0, G21/$J$16, 0)</f>
        <v>0</v>
      </c>
      <c r="K21" s="1">
        <f>IF(G21&gt;0, G21/$K$16, 0)</f>
        <v>0</v>
      </c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5"/>
      <c r="Y21" s="1"/>
      <c r="Z21" s="11"/>
      <c r="AA21" s="77">
        <v>0</v>
      </c>
      <c r="AB21" s="53">
        <v>2</v>
      </c>
      <c r="AC21" s="81">
        <f t="shared" si="5"/>
        <v>0</v>
      </c>
      <c r="AD21" s="81">
        <f t="shared" si="5"/>
        <v>0</v>
      </c>
      <c r="AE21" s="81">
        <f t="shared" si="5"/>
        <v>0</v>
      </c>
      <c r="AF21" s="84"/>
      <c r="AG21" s="84"/>
      <c r="AH21" s="84"/>
      <c r="AI21" s="84"/>
      <c r="AJ21" s="84"/>
      <c r="AK21" s="84"/>
      <c r="AL21" s="84"/>
      <c r="AM21" s="84"/>
      <c r="AN21" s="84"/>
      <c r="AO21" s="84"/>
      <c r="AP21" s="84"/>
      <c r="AQ21" s="84"/>
      <c r="AR21" s="85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</row>
    <row r="22" spans="1:64" x14ac:dyDescent="0.25">
      <c r="A22" s="1"/>
      <c r="B22" s="1"/>
      <c r="C22" s="1"/>
      <c r="D22" s="1"/>
      <c r="E22" s="1"/>
      <c r="F22" s="11"/>
      <c r="G22" s="77">
        <v>0</v>
      </c>
      <c r="H22" s="53">
        <v>2.5</v>
      </c>
      <c r="I22" s="81">
        <f t="shared" si="4"/>
        <v>0</v>
      </c>
      <c r="J22" s="1">
        <f t="shared" si="6"/>
        <v>0</v>
      </c>
      <c r="K22" s="1">
        <f t="shared" ref="K22:K33" si="7">IF(G22&gt;0, G22/$K$16, 0)</f>
        <v>0</v>
      </c>
      <c r="L22" s="1">
        <f>IF(G22&gt;0, G22/$L$16, 0)</f>
        <v>0</v>
      </c>
      <c r="M22" s="84"/>
      <c r="N22" s="84"/>
      <c r="O22" s="84"/>
      <c r="P22" s="84"/>
      <c r="Q22" s="84"/>
      <c r="R22" s="84"/>
      <c r="S22" s="84"/>
      <c r="T22" s="84"/>
      <c r="U22" s="84"/>
      <c r="V22" s="84"/>
      <c r="W22" s="84"/>
      <c r="X22" s="85"/>
      <c r="Y22" s="1"/>
      <c r="Z22" s="11"/>
      <c r="AA22" s="77">
        <v>0</v>
      </c>
      <c r="AB22" s="53">
        <v>2.5</v>
      </c>
      <c r="AC22" s="81">
        <f t="shared" si="5"/>
        <v>0</v>
      </c>
      <c r="AD22" s="81">
        <f t="shared" si="5"/>
        <v>0</v>
      </c>
      <c r="AE22" s="81">
        <f t="shared" si="5"/>
        <v>0</v>
      </c>
      <c r="AF22" s="81">
        <f t="shared" si="5"/>
        <v>0</v>
      </c>
      <c r="AG22" s="84"/>
      <c r="AH22" s="84"/>
      <c r="AI22" s="84"/>
      <c r="AJ22" s="84"/>
      <c r="AK22" s="84"/>
      <c r="AL22" s="84"/>
      <c r="AM22" s="84"/>
      <c r="AN22" s="84"/>
      <c r="AO22" s="84"/>
      <c r="AP22" s="84"/>
      <c r="AQ22" s="84"/>
      <c r="AR22" s="85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</row>
    <row r="23" spans="1:64" x14ac:dyDescent="0.25">
      <c r="A23" s="1"/>
      <c r="B23" s="1"/>
      <c r="C23" s="1"/>
      <c r="D23" s="1"/>
      <c r="E23" s="1"/>
      <c r="F23" s="11"/>
      <c r="G23" s="77">
        <v>0</v>
      </c>
      <c r="H23" s="53">
        <v>3</v>
      </c>
      <c r="I23" s="81">
        <f t="shared" si="4"/>
        <v>0</v>
      </c>
      <c r="J23" s="1">
        <f t="shared" si="6"/>
        <v>0</v>
      </c>
      <c r="K23" s="1">
        <f t="shared" si="7"/>
        <v>0</v>
      </c>
      <c r="L23" s="1">
        <f t="shared" ref="L23:L33" si="8">IF(G23&gt;0, G23/$L$16, 0)</f>
        <v>0</v>
      </c>
      <c r="M23" s="1">
        <f>IF(G23&gt;0, G23/$M$16, 0)</f>
        <v>0</v>
      </c>
      <c r="N23" s="84"/>
      <c r="O23" s="84"/>
      <c r="P23" s="84"/>
      <c r="Q23" s="84"/>
      <c r="R23" s="84"/>
      <c r="S23" s="84"/>
      <c r="T23" s="84"/>
      <c r="U23" s="84"/>
      <c r="V23" s="84"/>
      <c r="W23" s="84"/>
      <c r="X23" s="85"/>
      <c r="Y23" s="1"/>
      <c r="Z23" s="11"/>
      <c r="AA23" s="77">
        <v>0</v>
      </c>
      <c r="AB23" s="53">
        <v>3</v>
      </c>
      <c r="AC23" s="81">
        <f t="shared" si="5"/>
        <v>0</v>
      </c>
      <c r="AD23" s="81">
        <f t="shared" si="5"/>
        <v>0</v>
      </c>
      <c r="AE23" s="81">
        <f t="shared" si="5"/>
        <v>0</v>
      </c>
      <c r="AF23" s="81">
        <f t="shared" si="5"/>
        <v>0</v>
      </c>
      <c r="AG23" s="81">
        <f t="shared" si="5"/>
        <v>0</v>
      </c>
      <c r="AH23" s="84"/>
      <c r="AI23" s="84"/>
      <c r="AJ23" s="84"/>
      <c r="AK23" s="84"/>
      <c r="AL23" s="84"/>
      <c r="AM23" s="84"/>
      <c r="AN23" s="84"/>
      <c r="AO23" s="84"/>
      <c r="AP23" s="84"/>
      <c r="AQ23" s="84"/>
      <c r="AR23" s="85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</row>
    <row r="24" spans="1:64" x14ac:dyDescent="0.25">
      <c r="A24" s="1"/>
      <c r="B24" s="1"/>
      <c r="C24" s="1"/>
      <c r="D24" s="1"/>
      <c r="E24" s="1"/>
      <c r="F24" s="11"/>
      <c r="G24" s="77">
        <v>0</v>
      </c>
      <c r="H24" s="53">
        <v>3.5</v>
      </c>
      <c r="I24" s="81">
        <f t="shared" si="4"/>
        <v>0</v>
      </c>
      <c r="J24" s="1">
        <f t="shared" si="6"/>
        <v>0</v>
      </c>
      <c r="K24" s="1">
        <f t="shared" si="7"/>
        <v>0</v>
      </c>
      <c r="L24" s="1">
        <f t="shared" si="8"/>
        <v>0</v>
      </c>
      <c r="M24" s="1">
        <f t="shared" ref="M24:M33" si="9">IF(G24&gt;0, G24/$M$16, 0)</f>
        <v>0</v>
      </c>
      <c r="N24" s="1">
        <f>IF(G24&gt;0, G24/$N$16, 0)</f>
        <v>0</v>
      </c>
      <c r="O24" s="84"/>
      <c r="P24" s="84"/>
      <c r="Q24" s="84"/>
      <c r="R24" s="84"/>
      <c r="S24" s="84"/>
      <c r="T24" s="84"/>
      <c r="U24" s="84"/>
      <c r="V24" s="84"/>
      <c r="W24" s="84"/>
      <c r="X24" s="85"/>
      <c r="Y24" s="1"/>
      <c r="Z24" s="11"/>
      <c r="AA24" s="77">
        <v>0</v>
      </c>
      <c r="AB24" s="53">
        <v>3.5</v>
      </c>
      <c r="AC24" s="81">
        <f t="shared" si="5"/>
        <v>0</v>
      </c>
      <c r="AD24" s="81">
        <f t="shared" si="5"/>
        <v>0</v>
      </c>
      <c r="AE24" s="81">
        <f t="shared" si="5"/>
        <v>0</v>
      </c>
      <c r="AF24" s="81">
        <f t="shared" si="5"/>
        <v>0</v>
      </c>
      <c r="AG24" s="81">
        <f t="shared" si="5"/>
        <v>0</v>
      </c>
      <c r="AH24" s="81">
        <f t="shared" si="5"/>
        <v>0</v>
      </c>
      <c r="AI24" s="84"/>
      <c r="AJ24" s="84"/>
      <c r="AK24" s="84"/>
      <c r="AL24" s="84"/>
      <c r="AM24" s="84"/>
      <c r="AN24" s="84"/>
      <c r="AO24" s="84"/>
      <c r="AP24" s="84"/>
      <c r="AQ24" s="84"/>
      <c r="AR24" s="85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</row>
    <row r="25" spans="1:64" x14ac:dyDescent="0.25">
      <c r="A25" s="1"/>
      <c r="B25" s="1"/>
      <c r="C25" s="1"/>
      <c r="D25" s="1"/>
      <c r="E25" s="1"/>
      <c r="F25" s="11"/>
      <c r="G25" s="77">
        <v>0</v>
      </c>
      <c r="H25" s="53">
        <v>4</v>
      </c>
      <c r="I25" s="81">
        <f t="shared" si="4"/>
        <v>0</v>
      </c>
      <c r="J25" s="1">
        <f t="shared" si="6"/>
        <v>0</v>
      </c>
      <c r="K25" s="1">
        <f t="shared" si="7"/>
        <v>0</v>
      </c>
      <c r="L25" s="1">
        <f t="shared" si="8"/>
        <v>0</v>
      </c>
      <c r="M25" s="1">
        <f t="shared" si="9"/>
        <v>0</v>
      </c>
      <c r="N25" s="1">
        <f t="shared" ref="N25:N33" si="10">IF(G25&gt;0, G25/$N$16, 0)</f>
        <v>0</v>
      </c>
      <c r="O25" s="1">
        <f>IF(G25&gt;0, G25/$O$16, 0)</f>
        <v>0</v>
      </c>
      <c r="P25" s="84"/>
      <c r="Q25" s="84"/>
      <c r="R25" s="84"/>
      <c r="S25" s="84"/>
      <c r="T25" s="84"/>
      <c r="U25" s="84"/>
      <c r="V25" s="84"/>
      <c r="W25" s="84"/>
      <c r="X25" s="85"/>
      <c r="Y25" s="1"/>
      <c r="Z25" s="11"/>
      <c r="AA25" s="77">
        <v>0</v>
      </c>
      <c r="AB25" s="53">
        <v>4</v>
      </c>
      <c r="AC25" s="81">
        <f t="shared" si="5"/>
        <v>0</v>
      </c>
      <c r="AD25" s="81">
        <f t="shared" si="5"/>
        <v>0</v>
      </c>
      <c r="AE25" s="81">
        <f t="shared" si="5"/>
        <v>0</v>
      </c>
      <c r="AF25" s="81">
        <f t="shared" si="5"/>
        <v>0</v>
      </c>
      <c r="AG25" s="81">
        <f t="shared" si="5"/>
        <v>0</v>
      </c>
      <c r="AH25" s="81">
        <f t="shared" si="5"/>
        <v>0</v>
      </c>
      <c r="AI25" s="81">
        <f t="shared" si="5"/>
        <v>0</v>
      </c>
      <c r="AJ25" s="84"/>
      <c r="AK25" s="84"/>
      <c r="AL25" s="84"/>
      <c r="AM25" s="84"/>
      <c r="AN25" s="84"/>
      <c r="AO25" s="84"/>
      <c r="AP25" s="84"/>
      <c r="AQ25" s="84"/>
      <c r="AR25" s="85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</row>
    <row r="26" spans="1:64" x14ac:dyDescent="0.25">
      <c r="A26" s="1"/>
      <c r="B26" s="1"/>
      <c r="C26" s="1"/>
      <c r="D26" s="1"/>
      <c r="E26" s="1"/>
      <c r="F26" s="11"/>
      <c r="G26" s="77">
        <v>0</v>
      </c>
      <c r="H26" s="53">
        <v>4.5</v>
      </c>
      <c r="I26" s="81">
        <f t="shared" si="4"/>
        <v>0</v>
      </c>
      <c r="J26" s="1">
        <f t="shared" si="6"/>
        <v>0</v>
      </c>
      <c r="K26" s="1">
        <f t="shared" si="7"/>
        <v>0</v>
      </c>
      <c r="L26" s="1">
        <f t="shared" si="8"/>
        <v>0</v>
      </c>
      <c r="M26" s="1">
        <f t="shared" si="9"/>
        <v>0</v>
      </c>
      <c r="N26" s="1">
        <f t="shared" si="10"/>
        <v>0</v>
      </c>
      <c r="O26" s="1">
        <f t="shared" ref="O26:O33" si="11">IF(G26&gt;0, G26/$O$16, 0)</f>
        <v>0</v>
      </c>
      <c r="P26" s="1">
        <f>IF(G26&gt;0, G26/$P$16, 0)</f>
        <v>0</v>
      </c>
      <c r="Q26" s="84"/>
      <c r="R26" s="84"/>
      <c r="S26" s="84"/>
      <c r="T26" s="84"/>
      <c r="U26" s="84"/>
      <c r="V26" s="84"/>
      <c r="W26" s="84"/>
      <c r="X26" s="85"/>
      <c r="Y26" s="1"/>
      <c r="Z26" s="11"/>
      <c r="AA26" s="77">
        <v>0</v>
      </c>
      <c r="AB26" s="53">
        <v>4.5</v>
      </c>
      <c r="AC26" s="81">
        <f t="shared" si="5"/>
        <v>0</v>
      </c>
      <c r="AD26" s="81">
        <f t="shared" si="5"/>
        <v>0</v>
      </c>
      <c r="AE26" s="81">
        <f t="shared" si="5"/>
        <v>0</v>
      </c>
      <c r="AF26" s="81">
        <f t="shared" si="5"/>
        <v>0</v>
      </c>
      <c r="AG26" s="81">
        <f t="shared" si="5"/>
        <v>0</v>
      </c>
      <c r="AH26" s="81">
        <f t="shared" si="5"/>
        <v>0</v>
      </c>
      <c r="AI26" s="81">
        <f t="shared" si="5"/>
        <v>0</v>
      </c>
      <c r="AJ26" s="81">
        <f t="shared" si="5"/>
        <v>0</v>
      </c>
      <c r="AK26" s="84"/>
      <c r="AL26" s="84"/>
      <c r="AM26" s="84"/>
      <c r="AN26" s="84"/>
      <c r="AO26" s="84"/>
      <c r="AP26" s="84"/>
      <c r="AQ26" s="84"/>
      <c r="AR26" s="85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</row>
    <row r="27" spans="1:64" x14ac:dyDescent="0.25">
      <c r="A27" s="1"/>
      <c r="B27" s="1"/>
      <c r="C27" s="1"/>
      <c r="D27" s="1"/>
      <c r="E27" s="1"/>
      <c r="F27" s="11"/>
      <c r="G27" s="77">
        <v>0</v>
      </c>
      <c r="H27" s="53">
        <v>5</v>
      </c>
      <c r="I27" s="81">
        <f t="shared" si="4"/>
        <v>0</v>
      </c>
      <c r="J27" s="1">
        <f t="shared" si="6"/>
        <v>0</v>
      </c>
      <c r="K27" s="1">
        <f t="shared" si="7"/>
        <v>0</v>
      </c>
      <c r="L27" s="1">
        <f t="shared" si="8"/>
        <v>0</v>
      </c>
      <c r="M27" s="1">
        <f t="shared" si="9"/>
        <v>0</v>
      </c>
      <c r="N27" s="1">
        <f t="shared" si="10"/>
        <v>0</v>
      </c>
      <c r="O27" s="1">
        <f t="shared" si="11"/>
        <v>0</v>
      </c>
      <c r="P27" s="1">
        <f t="shared" ref="P27:P33" si="12">IF(G27&gt;0, G27/$P$16, 0)</f>
        <v>0</v>
      </c>
      <c r="Q27" s="1">
        <f>IF(G27&gt;0, G27/$Q$16, 0)</f>
        <v>0</v>
      </c>
      <c r="R27" s="84"/>
      <c r="S27" s="84"/>
      <c r="T27" s="84"/>
      <c r="U27" s="84"/>
      <c r="V27" s="84"/>
      <c r="W27" s="84"/>
      <c r="X27" s="85"/>
      <c r="Y27" s="1"/>
      <c r="Z27" s="11"/>
      <c r="AA27" s="77">
        <v>0</v>
      </c>
      <c r="AB27" s="53">
        <v>5</v>
      </c>
      <c r="AC27" s="81">
        <f t="shared" si="5"/>
        <v>0</v>
      </c>
      <c r="AD27" s="81">
        <f t="shared" si="5"/>
        <v>0</v>
      </c>
      <c r="AE27" s="81">
        <f t="shared" si="5"/>
        <v>0</v>
      </c>
      <c r="AF27" s="81">
        <f t="shared" si="5"/>
        <v>0</v>
      </c>
      <c r="AG27" s="81">
        <f t="shared" si="5"/>
        <v>0</v>
      </c>
      <c r="AH27" s="81">
        <f t="shared" si="5"/>
        <v>0</v>
      </c>
      <c r="AI27" s="81">
        <f t="shared" si="5"/>
        <v>0</v>
      </c>
      <c r="AJ27" s="81">
        <f t="shared" si="5"/>
        <v>0</v>
      </c>
      <c r="AK27" s="81">
        <f t="shared" si="5"/>
        <v>0</v>
      </c>
      <c r="AL27" s="84"/>
      <c r="AM27" s="84"/>
      <c r="AN27" s="84"/>
      <c r="AO27" s="84"/>
      <c r="AP27" s="84"/>
      <c r="AQ27" s="84"/>
      <c r="AR27" s="85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</row>
    <row r="28" spans="1:64" x14ac:dyDescent="0.25">
      <c r="A28" s="1"/>
      <c r="B28" s="1"/>
      <c r="C28" s="1"/>
      <c r="D28" s="1"/>
      <c r="E28" s="1"/>
      <c r="F28" s="11"/>
      <c r="G28" s="77">
        <v>0</v>
      </c>
      <c r="H28" s="53">
        <v>5.5</v>
      </c>
      <c r="I28" s="81">
        <f t="shared" si="4"/>
        <v>0</v>
      </c>
      <c r="J28" s="1">
        <f t="shared" si="6"/>
        <v>0</v>
      </c>
      <c r="K28" s="1">
        <f t="shared" si="7"/>
        <v>0</v>
      </c>
      <c r="L28" s="1">
        <f t="shared" si="8"/>
        <v>0</v>
      </c>
      <c r="M28" s="1">
        <f t="shared" si="9"/>
        <v>0</v>
      </c>
      <c r="N28" s="1">
        <f t="shared" si="10"/>
        <v>0</v>
      </c>
      <c r="O28" s="1">
        <f t="shared" si="11"/>
        <v>0</v>
      </c>
      <c r="P28" s="1">
        <f t="shared" si="12"/>
        <v>0</v>
      </c>
      <c r="Q28" s="1">
        <f t="shared" ref="Q28:Q33" si="13">IF(G28&gt;0, G28/$Q$16, 0)</f>
        <v>0</v>
      </c>
      <c r="R28" s="1">
        <f>IF(G28&gt;0, G28/$R$16, 0)</f>
        <v>0</v>
      </c>
      <c r="S28" s="84"/>
      <c r="T28" s="84"/>
      <c r="U28" s="84"/>
      <c r="V28" s="84"/>
      <c r="W28" s="84"/>
      <c r="X28" s="85"/>
      <c r="Y28" s="1"/>
      <c r="Z28" s="11"/>
      <c r="AA28" s="77">
        <v>0</v>
      </c>
      <c r="AB28" s="53">
        <v>5.5</v>
      </c>
      <c r="AC28" s="81">
        <f t="shared" si="5"/>
        <v>0</v>
      </c>
      <c r="AD28" s="81">
        <f t="shared" si="5"/>
        <v>0</v>
      </c>
      <c r="AE28" s="81">
        <f t="shared" si="5"/>
        <v>0</v>
      </c>
      <c r="AF28" s="81">
        <f t="shared" si="5"/>
        <v>0</v>
      </c>
      <c r="AG28" s="81">
        <f t="shared" si="5"/>
        <v>0</v>
      </c>
      <c r="AH28" s="81">
        <f t="shared" si="5"/>
        <v>0</v>
      </c>
      <c r="AI28" s="81">
        <f t="shared" si="5"/>
        <v>0</v>
      </c>
      <c r="AJ28" s="81">
        <f t="shared" si="5"/>
        <v>0</v>
      </c>
      <c r="AK28" s="81">
        <f t="shared" si="5"/>
        <v>0</v>
      </c>
      <c r="AL28" s="81">
        <f t="shared" si="5"/>
        <v>0</v>
      </c>
      <c r="AM28" s="84"/>
      <c r="AN28" s="84"/>
      <c r="AO28" s="84"/>
      <c r="AP28" s="84"/>
      <c r="AQ28" s="84"/>
      <c r="AR28" s="85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</row>
    <row r="29" spans="1:64" x14ac:dyDescent="0.25">
      <c r="A29" s="1"/>
      <c r="B29" s="1"/>
      <c r="C29" s="1"/>
      <c r="D29" s="1"/>
      <c r="E29" s="1"/>
      <c r="F29" s="11"/>
      <c r="G29" s="77">
        <v>0</v>
      </c>
      <c r="H29" s="53">
        <v>6</v>
      </c>
      <c r="I29" s="81">
        <f t="shared" si="4"/>
        <v>0</v>
      </c>
      <c r="J29" s="1">
        <f t="shared" si="6"/>
        <v>0</v>
      </c>
      <c r="K29" s="1">
        <f t="shared" si="7"/>
        <v>0</v>
      </c>
      <c r="L29" s="1">
        <f t="shared" si="8"/>
        <v>0</v>
      </c>
      <c r="M29" s="1">
        <f t="shared" si="9"/>
        <v>0</v>
      </c>
      <c r="N29" s="1">
        <f t="shared" si="10"/>
        <v>0</v>
      </c>
      <c r="O29" s="1">
        <f t="shared" si="11"/>
        <v>0</v>
      </c>
      <c r="P29" s="1">
        <f t="shared" si="12"/>
        <v>0</v>
      </c>
      <c r="Q29" s="1">
        <f t="shared" si="13"/>
        <v>0</v>
      </c>
      <c r="R29" s="1">
        <f t="shared" ref="R29:R33" si="14">IF(G29&gt;0, G29/$R$16, 0)</f>
        <v>0</v>
      </c>
      <c r="S29" s="1">
        <f>IF(G29&gt;0, G29/$S$16, 0)</f>
        <v>0</v>
      </c>
      <c r="T29" s="84"/>
      <c r="U29" s="84"/>
      <c r="V29" s="84"/>
      <c r="W29" s="84"/>
      <c r="X29" s="85"/>
      <c r="Y29" s="1"/>
      <c r="Z29" s="11"/>
      <c r="AA29" s="77">
        <v>0</v>
      </c>
      <c r="AB29" s="53">
        <v>6</v>
      </c>
      <c r="AC29" s="81">
        <f t="shared" si="5"/>
        <v>0</v>
      </c>
      <c r="AD29" s="81">
        <f t="shared" si="5"/>
        <v>0</v>
      </c>
      <c r="AE29" s="81">
        <f t="shared" si="5"/>
        <v>0</v>
      </c>
      <c r="AF29" s="81">
        <f t="shared" si="5"/>
        <v>0</v>
      </c>
      <c r="AG29" s="81">
        <f t="shared" si="5"/>
        <v>0</v>
      </c>
      <c r="AH29" s="81">
        <f t="shared" si="5"/>
        <v>0</v>
      </c>
      <c r="AI29" s="81">
        <f t="shared" si="5"/>
        <v>0</v>
      </c>
      <c r="AJ29" s="81">
        <f t="shared" si="5"/>
        <v>0</v>
      </c>
      <c r="AK29" s="81">
        <f t="shared" si="5"/>
        <v>0</v>
      </c>
      <c r="AL29" s="81">
        <f t="shared" si="5"/>
        <v>0</v>
      </c>
      <c r="AM29" s="81">
        <f t="shared" si="5"/>
        <v>0</v>
      </c>
      <c r="AN29" s="84"/>
      <c r="AO29" s="84"/>
      <c r="AP29" s="84"/>
      <c r="AQ29" s="84"/>
      <c r="AR29" s="85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</row>
    <row r="30" spans="1:64" x14ac:dyDescent="0.25">
      <c r="A30" s="1"/>
      <c r="B30" s="1"/>
      <c r="C30" s="1"/>
      <c r="D30" s="1"/>
      <c r="E30" s="1"/>
      <c r="F30" s="11"/>
      <c r="G30" s="77">
        <v>0</v>
      </c>
      <c r="H30" s="53">
        <v>6.5</v>
      </c>
      <c r="I30" s="81">
        <f t="shared" si="4"/>
        <v>0</v>
      </c>
      <c r="J30" s="1">
        <f t="shared" si="6"/>
        <v>0</v>
      </c>
      <c r="K30" s="1">
        <f t="shared" si="7"/>
        <v>0</v>
      </c>
      <c r="L30" s="1">
        <f t="shared" si="8"/>
        <v>0</v>
      </c>
      <c r="M30" s="1">
        <f t="shared" si="9"/>
        <v>0</v>
      </c>
      <c r="N30" s="1">
        <f t="shared" si="10"/>
        <v>0</v>
      </c>
      <c r="O30" s="1">
        <f t="shared" si="11"/>
        <v>0</v>
      </c>
      <c r="P30" s="1">
        <f t="shared" si="12"/>
        <v>0</v>
      </c>
      <c r="Q30" s="1">
        <f t="shared" si="13"/>
        <v>0</v>
      </c>
      <c r="R30" s="1">
        <f t="shared" si="14"/>
        <v>0</v>
      </c>
      <c r="S30" s="1">
        <f t="shared" ref="S30:S33" si="15">IF(G30&gt;0, G30/$S$16, 0)</f>
        <v>0</v>
      </c>
      <c r="T30" s="1">
        <f>IF(G30&gt;0, G30/$T$16, 0)</f>
        <v>0</v>
      </c>
      <c r="U30" s="84"/>
      <c r="V30" s="84"/>
      <c r="W30" s="84"/>
      <c r="X30" s="85"/>
      <c r="Y30" s="1"/>
      <c r="Z30" s="11"/>
      <c r="AA30" s="77">
        <v>0</v>
      </c>
      <c r="AB30" s="53">
        <v>6.5</v>
      </c>
      <c r="AC30" s="81">
        <f t="shared" si="5"/>
        <v>0</v>
      </c>
      <c r="AD30" s="81">
        <f t="shared" si="5"/>
        <v>0</v>
      </c>
      <c r="AE30" s="81">
        <f t="shared" si="5"/>
        <v>0</v>
      </c>
      <c r="AF30" s="81">
        <f t="shared" si="5"/>
        <v>0</v>
      </c>
      <c r="AG30" s="81">
        <f t="shared" si="5"/>
        <v>0</v>
      </c>
      <c r="AH30" s="81">
        <f t="shared" si="5"/>
        <v>0</v>
      </c>
      <c r="AI30" s="81">
        <f t="shared" si="5"/>
        <v>0</v>
      </c>
      <c r="AJ30" s="81">
        <f t="shared" si="5"/>
        <v>0</v>
      </c>
      <c r="AK30" s="81">
        <f t="shared" si="5"/>
        <v>0</v>
      </c>
      <c r="AL30" s="81">
        <f t="shared" si="5"/>
        <v>0</v>
      </c>
      <c r="AM30" s="81">
        <f t="shared" si="5"/>
        <v>0</v>
      </c>
      <c r="AN30" s="81">
        <f t="shared" si="5"/>
        <v>0</v>
      </c>
      <c r="AO30" s="84"/>
      <c r="AP30" s="84"/>
      <c r="AQ30" s="84"/>
      <c r="AR30" s="85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</row>
    <row r="31" spans="1:64" x14ac:dyDescent="0.25">
      <c r="A31" s="1"/>
      <c r="B31" s="1"/>
      <c r="C31" s="1"/>
      <c r="D31" s="1"/>
      <c r="E31" s="1"/>
      <c r="F31" s="11"/>
      <c r="G31" s="77">
        <v>0</v>
      </c>
      <c r="H31" s="53">
        <v>7</v>
      </c>
      <c r="I31" s="81">
        <f t="shared" si="4"/>
        <v>0</v>
      </c>
      <c r="J31" s="1">
        <f t="shared" si="6"/>
        <v>0</v>
      </c>
      <c r="K31" s="1">
        <f t="shared" si="7"/>
        <v>0</v>
      </c>
      <c r="L31" s="1">
        <f t="shared" si="8"/>
        <v>0</v>
      </c>
      <c r="M31" s="1">
        <f t="shared" si="9"/>
        <v>0</v>
      </c>
      <c r="N31" s="1">
        <f t="shared" si="10"/>
        <v>0</v>
      </c>
      <c r="O31" s="1">
        <f t="shared" si="11"/>
        <v>0</v>
      </c>
      <c r="P31" s="1">
        <f t="shared" si="12"/>
        <v>0</v>
      </c>
      <c r="Q31" s="1">
        <f t="shared" si="13"/>
        <v>0</v>
      </c>
      <c r="R31" s="1">
        <f t="shared" si="14"/>
        <v>0</v>
      </c>
      <c r="S31" s="1">
        <f t="shared" si="15"/>
        <v>0</v>
      </c>
      <c r="T31" s="1">
        <f t="shared" ref="T31:T33" si="16">IF(G31&gt;0, G31/$T$16, 0)</f>
        <v>0</v>
      </c>
      <c r="U31" s="1">
        <f>IF(G31&gt;0, G31/$U$16, 0)</f>
        <v>0</v>
      </c>
      <c r="V31" s="84"/>
      <c r="W31" s="84"/>
      <c r="X31" s="85"/>
      <c r="Y31" s="1"/>
      <c r="Z31" s="11"/>
      <c r="AA31" s="77">
        <v>0</v>
      </c>
      <c r="AB31" s="53">
        <v>7</v>
      </c>
      <c r="AC31" s="81">
        <f t="shared" si="5"/>
        <v>0</v>
      </c>
      <c r="AD31" s="81">
        <f t="shared" si="5"/>
        <v>0</v>
      </c>
      <c r="AE31" s="81">
        <f t="shared" si="5"/>
        <v>0</v>
      </c>
      <c r="AF31" s="81">
        <f t="shared" si="5"/>
        <v>0</v>
      </c>
      <c r="AG31" s="81">
        <f t="shared" si="5"/>
        <v>0</v>
      </c>
      <c r="AH31" s="81">
        <f t="shared" si="5"/>
        <v>0</v>
      </c>
      <c r="AI31" s="81">
        <f t="shared" si="5"/>
        <v>0</v>
      </c>
      <c r="AJ31" s="81">
        <f t="shared" si="5"/>
        <v>0</v>
      </c>
      <c r="AK31" s="81">
        <f t="shared" si="5"/>
        <v>0</v>
      </c>
      <c r="AL31" s="81">
        <f t="shared" si="5"/>
        <v>0</v>
      </c>
      <c r="AM31" s="81">
        <f t="shared" si="5"/>
        <v>0</v>
      </c>
      <c r="AN31" s="81">
        <f t="shared" si="5"/>
        <v>0</v>
      </c>
      <c r="AO31" s="81">
        <f t="shared" si="5"/>
        <v>0</v>
      </c>
      <c r="AP31" s="84"/>
      <c r="AQ31" s="84"/>
      <c r="AR31" s="85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</row>
    <row r="32" spans="1:64" x14ac:dyDescent="0.25">
      <c r="A32" s="1"/>
      <c r="B32" s="1"/>
      <c r="C32" s="1"/>
      <c r="D32" s="1"/>
      <c r="E32" s="1"/>
      <c r="F32" s="11"/>
      <c r="G32" s="77">
        <v>0</v>
      </c>
      <c r="H32" s="53">
        <v>7.5</v>
      </c>
      <c r="I32" s="81">
        <f t="shared" si="4"/>
        <v>0</v>
      </c>
      <c r="J32" s="1">
        <f t="shared" si="6"/>
        <v>0</v>
      </c>
      <c r="K32" s="1">
        <f t="shared" si="7"/>
        <v>0</v>
      </c>
      <c r="L32" s="1">
        <f t="shared" si="8"/>
        <v>0</v>
      </c>
      <c r="M32" s="1">
        <f t="shared" si="9"/>
        <v>0</v>
      </c>
      <c r="N32" s="1">
        <f t="shared" si="10"/>
        <v>0</v>
      </c>
      <c r="O32" s="1">
        <f t="shared" si="11"/>
        <v>0</v>
      </c>
      <c r="P32" s="1">
        <f t="shared" si="12"/>
        <v>0</v>
      </c>
      <c r="Q32" s="1">
        <f t="shared" si="13"/>
        <v>0</v>
      </c>
      <c r="R32" s="1">
        <f t="shared" si="14"/>
        <v>0</v>
      </c>
      <c r="S32" s="1">
        <f t="shared" si="15"/>
        <v>0</v>
      </c>
      <c r="T32" s="1">
        <f t="shared" si="16"/>
        <v>0</v>
      </c>
      <c r="U32" s="1">
        <f t="shared" ref="U32:U33" si="17">IF(G32&gt;0, G32/$U$16, 0)</f>
        <v>0</v>
      </c>
      <c r="V32" s="1">
        <f>IF(G32&gt;0, G32/$V$16, 0)</f>
        <v>0</v>
      </c>
      <c r="W32" s="84"/>
      <c r="X32" s="85"/>
      <c r="Y32" s="1"/>
      <c r="Z32" s="11"/>
      <c r="AA32" s="77">
        <v>0</v>
      </c>
      <c r="AB32" s="53">
        <v>7.5</v>
      </c>
      <c r="AC32" s="81">
        <f t="shared" si="5"/>
        <v>0</v>
      </c>
      <c r="AD32" s="81">
        <f t="shared" si="5"/>
        <v>0</v>
      </c>
      <c r="AE32" s="81">
        <f t="shared" si="5"/>
        <v>0</v>
      </c>
      <c r="AF32" s="81">
        <f t="shared" si="5"/>
        <v>0</v>
      </c>
      <c r="AG32" s="81">
        <f t="shared" si="5"/>
        <v>0</v>
      </c>
      <c r="AH32" s="81">
        <f t="shared" si="5"/>
        <v>0</v>
      </c>
      <c r="AI32" s="81">
        <f t="shared" si="5"/>
        <v>0</v>
      </c>
      <c r="AJ32" s="81">
        <f t="shared" si="5"/>
        <v>0</v>
      </c>
      <c r="AK32" s="81">
        <f t="shared" si="5"/>
        <v>0</v>
      </c>
      <c r="AL32" s="81">
        <f t="shared" si="5"/>
        <v>0</v>
      </c>
      <c r="AM32" s="81">
        <f t="shared" si="5"/>
        <v>0</v>
      </c>
      <c r="AN32" s="81">
        <f t="shared" si="5"/>
        <v>0</v>
      </c>
      <c r="AO32" s="81">
        <f t="shared" si="5"/>
        <v>0</v>
      </c>
      <c r="AP32" s="81">
        <f t="shared" si="5"/>
        <v>0</v>
      </c>
      <c r="AQ32" s="84"/>
      <c r="AR32" s="85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</row>
    <row r="33" spans="1:64" ht="15.75" thickBot="1" x14ac:dyDescent="0.3">
      <c r="A33" s="1"/>
      <c r="B33" s="1"/>
      <c r="C33" s="1"/>
      <c r="D33" s="1"/>
      <c r="E33" s="1"/>
      <c r="F33" s="13"/>
      <c r="G33" s="80">
        <v>0</v>
      </c>
      <c r="H33" s="56">
        <v>8</v>
      </c>
      <c r="I33" s="82">
        <f t="shared" si="4"/>
        <v>0</v>
      </c>
      <c r="J33" s="14">
        <f t="shared" si="6"/>
        <v>0</v>
      </c>
      <c r="K33" s="14">
        <f t="shared" si="7"/>
        <v>0</v>
      </c>
      <c r="L33" s="14">
        <f t="shared" si="8"/>
        <v>0</v>
      </c>
      <c r="M33" s="14">
        <f t="shared" si="9"/>
        <v>0</v>
      </c>
      <c r="N33" s="14">
        <f t="shared" si="10"/>
        <v>0</v>
      </c>
      <c r="O33" s="14">
        <f t="shared" si="11"/>
        <v>0</v>
      </c>
      <c r="P33" s="14">
        <f t="shared" si="12"/>
        <v>0</v>
      </c>
      <c r="Q33" s="14">
        <f t="shared" si="13"/>
        <v>0</v>
      </c>
      <c r="R33" s="14">
        <f t="shared" si="14"/>
        <v>0</v>
      </c>
      <c r="S33" s="14">
        <f t="shared" si="15"/>
        <v>0</v>
      </c>
      <c r="T33" s="14">
        <f t="shared" si="16"/>
        <v>0</v>
      </c>
      <c r="U33" s="14">
        <f t="shared" si="17"/>
        <v>0</v>
      </c>
      <c r="V33" s="14">
        <f>IF(G33&gt;0, G33/$V$16, 0)</f>
        <v>0</v>
      </c>
      <c r="W33" s="14">
        <f>IF(G33&gt;0, G33/$W$16, 0)</f>
        <v>0</v>
      </c>
      <c r="X33" s="86"/>
      <c r="Y33" s="1"/>
      <c r="Z33" s="13"/>
      <c r="AA33" s="80">
        <v>0</v>
      </c>
      <c r="AB33" s="56">
        <v>8</v>
      </c>
      <c r="AC33" s="82">
        <f t="shared" si="5"/>
        <v>0</v>
      </c>
      <c r="AD33" s="82">
        <f t="shared" si="5"/>
        <v>0</v>
      </c>
      <c r="AE33" s="82">
        <f t="shared" si="5"/>
        <v>0</v>
      </c>
      <c r="AF33" s="82">
        <f t="shared" si="5"/>
        <v>0</v>
      </c>
      <c r="AG33" s="82">
        <f t="shared" si="5"/>
        <v>0</v>
      </c>
      <c r="AH33" s="82">
        <f t="shared" si="5"/>
        <v>0</v>
      </c>
      <c r="AI33" s="82">
        <f t="shared" si="5"/>
        <v>0</v>
      </c>
      <c r="AJ33" s="82">
        <f t="shared" si="5"/>
        <v>0</v>
      </c>
      <c r="AK33" s="82">
        <f t="shared" si="5"/>
        <v>0</v>
      </c>
      <c r="AL33" s="82">
        <f t="shared" si="5"/>
        <v>0</v>
      </c>
      <c r="AM33" s="82">
        <f t="shared" si="5"/>
        <v>0</v>
      </c>
      <c r="AN33" s="82">
        <f t="shared" si="5"/>
        <v>0</v>
      </c>
      <c r="AO33" s="82">
        <f t="shared" si="5"/>
        <v>0</v>
      </c>
      <c r="AP33" s="82">
        <f t="shared" si="5"/>
        <v>0</v>
      </c>
      <c r="AQ33" s="82">
        <f t="shared" si="5"/>
        <v>0</v>
      </c>
      <c r="AR33" s="86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</row>
    <row r="34" spans="1:64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</row>
    <row r="35" spans="1:64" x14ac:dyDescent="0.25">
      <c r="A35" s="1"/>
      <c r="B35" s="1"/>
      <c r="C35" s="1"/>
      <c r="D35" s="1"/>
      <c r="E35" s="1"/>
      <c r="F35" s="1" t="s">
        <v>95</v>
      </c>
      <c r="G35" s="18">
        <v>2</v>
      </c>
      <c r="H35" s="1" t="s">
        <v>46</v>
      </c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</row>
    <row r="36" spans="1:64" ht="15.75" thickBot="1" x14ac:dyDescent="0.3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</row>
    <row r="37" spans="1:64" x14ac:dyDescent="0.25">
      <c r="A37" s="1"/>
      <c r="B37" s="1"/>
      <c r="C37" s="1"/>
      <c r="D37" s="1"/>
      <c r="E37" s="1"/>
      <c r="F37" s="89" t="s">
        <v>96</v>
      </c>
      <c r="G37" s="9" t="s">
        <v>93</v>
      </c>
      <c r="H37" s="78">
        <v>1</v>
      </c>
      <c r="I37" s="78">
        <f>H9</f>
        <v>0.97870000000000001</v>
      </c>
      <c r="J37" s="78">
        <f t="shared" ref="J37:X37" si="18">I9</f>
        <v>0.95709999999999995</v>
      </c>
      <c r="K37" s="78">
        <f t="shared" si="18"/>
        <v>0.93610000000000004</v>
      </c>
      <c r="L37" s="78">
        <f t="shared" si="18"/>
        <v>0</v>
      </c>
      <c r="M37" s="78">
        <f t="shared" si="18"/>
        <v>0</v>
      </c>
      <c r="N37" s="78">
        <f t="shared" si="18"/>
        <v>0</v>
      </c>
      <c r="O37" s="78">
        <f t="shared" si="18"/>
        <v>0</v>
      </c>
      <c r="P37" s="78">
        <f t="shared" si="18"/>
        <v>0</v>
      </c>
      <c r="Q37" s="78">
        <f t="shared" si="18"/>
        <v>0</v>
      </c>
      <c r="R37" s="78">
        <f t="shared" si="18"/>
        <v>0</v>
      </c>
      <c r="S37" s="78">
        <f t="shared" si="18"/>
        <v>0</v>
      </c>
      <c r="T37" s="78">
        <f t="shared" si="18"/>
        <v>0</v>
      </c>
      <c r="U37" s="78">
        <f t="shared" si="18"/>
        <v>0</v>
      </c>
      <c r="V37" s="78">
        <f t="shared" si="18"/>
        <v>0</v>
      </c>
      <c r="W37" s="78">
        <f t="shared" si="18"/>
        <v>0</v>
      </c>
      <c r="X37" s="79">
        <f t="shared" si="18"/>
        <v>0</v>
      </c>
      <c r="Y37" s="1"/>
      <c r="Z37" s="89" t="s">
        <v>102</v>
      </c>
      <c r="AA37" s="9" t="s">
        <v>93</v>
      </c>
      <c r="AB37" s="78">
        <v>1</v>
      </c>
      <c r="AC37" s="78">
        <f>H13</f>
        <v>0.97870000000000001</v>
      </c>
      <c r="AD37" s="78">
        <f t="shared" ref="AD37:AR37" si="19">I13</f>
        <v>0.95709999999999995</v>
      </c>
      <c r="AE37" s="78">
        <f t="shared" si="19"/>
        <v>0.93610000000000004</v>
      </c>
      <c r="AF37" s="78">
        <f t="shared" si="19"/>
        <v>0</v>
      </c>
      <c r="AG37" s="78">
        <f t="shared" si="19"/>
        <v>0</v>
      </c>
      <c r="AH37" s="78">
        <f t="shared" si="19"/>
        <v>0</v>
      </c>
      <c r="AI37" s="78">
        <f t="shared" si="19"/>
        <v>0</v>
      </c>
      <c r="AJ37" s="78">
        <f t="shared" si="19"/>
        <v>0</v>
      </c>
      <c r="AK37" s="78">
        <f t="shared" si="19"/>
        <v>0</v>
      </c>
      <c r="AL37" s="78">
        <f t="shared" si="19"/>
        <v>0</v>
      </c>
      <c r="AM37" s="78">
        <f t="shared" si="19"/>
        <v>0</v>
      </c>
      <c r="AN37" s="78">
        <f t="shared" si="19"/>
        <v>0</v>
      </c>
      <c r="AO37" s="78">
        <f t="shared" si="19"/>
        <v>0</v>
      </c>
      <c r="AP37" s="78">
        <f t="shared" si="19"/>
        <v>0</v>
      </c>
      <c r="AQ37" s="78">
        <f t="shared" si="19"/>
        <v>0</v>
      </c>
      <c r="AR37" s="79">
        <f t="shared" si="19"/>
        <v>0</v>
      </c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</row>
    <row r="38" spans="1:64" x14ac:dyDescent="0.25">
      <c r="A38" s="1"/>
      <c r="B38" s="1"/>
      <c r="C38" s="1"/>
      <c r="D38" s="1"/>
      <c r="E38" s="1"/>
      <c r="F38" s="5" t="s">
        <v>94</v>
      </c>
      <c r="G38" s="77">
        <v>1</v>
      </c>
      <c r="H38" s="53">
        <f>G27</f>
        <v>0</v>
      </c>
      <c r="I38" s="53">
        <f>H8</f>
        <v>0.5</v>
      </c>
      <c r="J38" s="53">
        <f t="shared" ref="J38:X38" si="20">I8</f>
        <v>1</v>
      </c>
      <c r="K38" s="53">
        <f t="shared" si="20"/>
        <v>1.5</v>
      </c>
      <c r="L38" s="53">
        <f t="shared" si="20"/>
        <v>2</v>
      </c>
      <c r="M38" s="53">
        <f t="shared" si="20"/>
        <v>2.5</v>
      </c>
      <c r="N38" s="53">
        <f t="shared" si="20"/>
        <v>3</v>
      </c>
      <c r="O38" s="53">
        <f t="shared" si="20"/>
        <v>3.5</v>
      </c>
      <c r="P38" s="53">
        <f t="shared" si="20"/>
        <v>4</v>
      </c>
      <c r="Q38" s="53">
        <f t="shared" si="20"/>
        <v>4.5</v>
      </c>
      <c r="R38" s="53">
        <f t="shared" si="20"/>
        <v>5</v>
      </c>
      <c r="S38" s="53">
        <f t="shared" si="20"/>
        <v>5.5</v>
      </c>
      <c r="T38" s="53">
        <f t="shared" si="20"/>
        <v>6</v>
      </c>
      <c r="U38" s="53">
        <f t="shared" si="20"/>
        <v>6.5</v>
      </c>
      <c r="V38" s="53">
        <f t="shared" si="20"/>
        <v>7</v>
      </c>
      <c r="W38" s="53">
        <f t="shared" si="20"/>
        <v>7.5</v>
      </c>
      <c r="X38" s="54">
        <f t="shared" si="20"/>
        <v>8</v>
      </c>
      <c r="Y38" s="1"/>
      <c r="Z38" s="5" t="s">
        <v>94</v>
      </c>
      <c r="AA38" s="77">
        <v>1</v>
      </c>
      <c r="AB38" s="53">
        <f>AA27</f>
        <v>0</v>
      </c>
      <c r="AC38" s="53">
        <f>AC17</f>
        <v>0.5</v>
      </c>
      <c r="AD38" s="53">
        <f t="shared" ref="AD38:AR38" si="21">AD17</f>
        <v>1</v>
      </c>
      <c r="AE38" s="53">
        <f t="shared" si="21"/>
        <v>1.5</v>
      </c>
      <c r="AF38" s="53">
        <f t="shared" si="21"/>
        <v>2</v>
      </c>
      <c r="AG38" s="53">
        <f t="shared" si="21"/>
        <v>2.5</v>
      </c>
      <c r="AH38" s="53">
        <f t="shared" si="21"/>
        <v>3</v>
      </c>
      <c r="AI38" s="53">
        <f t="shared" si="21"/>
        <v>3.5</v>
      </c>
      <c r="AJ38" s="53">
        <f t="shared" si="21"/>
        <v>4</v>
      </c>
      <c r="AK38" s="53">
        <f t="shared" si="21"/>
        <v>4.5</v>
      </c>
      <c r="AL38" s="53">
        <f t="shared" si="21"/>
        <v>5</v>
      </c>
      <c r="AM38" s="53">
        <f t="shared" si="21"/>
        <v>5.5</v>
      </c>
      <c r="AN38" s="53">
        <f t="shared" si="21"/>
        <v>6</v>
      </c>
      <c r="AO38" s="53">
        <f t="shared" si="21"/>
        <v>6.5</v>
      </c>
      <c r="AP38" s="53">
        <f t="shared" si="21"/>
        <v>7</v>
      </c>
      <c r="AQ38" s="53">
        <f t="shared" si="21"/>
        <v>7.5</v>
      </c>
      <c r="AR38" s="54">
        <f t="shared" si="21"/>
        <v>8</v>
      </c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</row>
    <row r="39" spans="1:64" x14ac:dyDescent="0.25">
      <c r="A39" s="1"/>
      <c r="B39" s="1"/>
      <c r="C39" s="1"/>
      <c r="D39" s="1"/>
      <c r="E39" s="1"/>
      <c r="F39" s="11"/>
      <c r="G39" s="77">
        <f t="array" ref="G39:G54">TRANSPOSE(H9:W9)</f>
        <v>0.97870000000000001</v>
      </c>
      <c r="H39" s="53">
        <f t="array" ref="H39:H54">TRANSPOSE($I$17:$X$17)</f>
        <v>0.5</v>
      </c>
      <c r="I39" s="83"/>
      <c r="J39" s="87"/>
      <c r="K39" s="87"/>
      <c r="L39" s="87"/>
      <c r="M39" s="87"/>
      <c r="N39" s="87"/>
      <c r="O39" s="87"/>
      <c r="P39" s="87"/>
      <c r="Q39" s="87"/>
      <c r="R39" s="87"/>
      <c r="S39" s="87"/>
      <c r="T39" s="87"/>
      <c r="U39" s="87"/>
      <c r="V39" s="87"/>
      <c r="W39" s="87"/>
      <c r="X39" s="88"/>
      <c r="Y39" s="1"/>
      <c r="Z39" s="11"/>
      <c r="AA39" s="77">
        <f t="array" ref="AA39:AA54">TRANSPOSE(H13:W13)</f>
        <v>0.97870000000000001</v>
      </c>
      <c r="AB39" s="53">
        <f t="array" ref="AB39:AB54">TRANSPOSE($I$17:$X$17)</f>
        <v>0.5</v>
      </c>
      <c r="AC39" s="83"/>
      <c r="AD39" s="87"/>
      <c r="AE39" s="87"/>
      <c r="AF39" s="87"/>
      <c r="AG39" s="87"/>
      <c r="AH39" s="87"/>
      <c r="AI39" s="87"/>
      <c r="AJ39" s="87"/>
      <c r="AK39" s="87"/>
      <c r="AL39" s="87"/>
      <c r="AM39" s="87"/>
      <c r="AN39" s="87"/>
      <c r="AO39" s="87"/>
      <c r="AP39" s="87"/>
      <c r="AQ39" s="87"/>
      <c r="AR39" s="88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</row>
    <row r="40" spans="1:64" x14ac:dyDescent="0.25">
      <c r="A40" s="1"/>
      <c r="B40" s="1"/>
      <c r="C40" s="1"/>
      <c r="D40" s="1"/>
      <c r="E40" s="1"/>
      <c r="F40" s="5"/>
      <c r="G40" s="77">
        <v>0.95709999999999995</v>
      </c>
      <c r="H40" s="53">
        <v>1</v>
      </c>
      <c r="I40" s="81">
        <f>IF(I19&gt;0, IF(TYPE($G$35)=1, $G$35 * ((I19^(-1/($G$35*($H40-I$38))))-1), -(LN(I19)/($H40-I$38))), 0)</f>
        <v>4.513634938877864E-2</v>
      </c>
      <c r="J40" s="84"/>
      <c r="K40" s="84"/>
      <c r="L40" s="84"/>
      <c r="M40" s="84"/>
      <c r="N40" s="84"/>
      <c r="O40" s="84"/>
      <c r="P40" s="84"/>
      <c r="Q40" s="84"/>
      <c r="R40" s="84"/>
      <c r="S40" s="84"/>
      <c r="T40" s="84"/>
      <c r="U40" s="84"/>
      <c r="V40" s="84"/>
      <c r="W40" s="84"/>
      <c r="X40" s="85"/>
      <c r="Y40" s="1"/>
      <c r="Z40" s="5"/>
      <c r="AA40" s="77">
        <v>0.95709999999999995</v>
      </c>
      <c r="AB40" s="53">
        <v>1</v>
      </c>
      <c r="AC40" s="81">
        <f>IF(AC19&gt;0, IF(TYPE($G$35)=1, $G$35 * ((AC19^(-1/($G$35*($AB40-AC$38))))-1), -(LN(AC19)/($AB40-AC$38))), 0)</f>
        <v>4.513634938877864E-2</v>
      </c>
      <c r="AD40" s="84"/>
      <c r="AE40" s="84"/>
      <c r="AF40" s="84"/>
      <c r="AG40" s="84"/>
      <c r="AH40" s="84"/>
      <c r="AI40" s="84"/>
      <c r="AJ40" s="84"/>
      <c r="AK40" s="84"/>
      <c r="AL40" s="84"/>
      <c r="AM40" s="84"/>
      <c r="AN40" s="84"/>
      <c r="AO40" s="84"/>
      <c r="AP40" s="84"/>
      <c r="AQ40" s="84"/>
      <c r="AR40" s="85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</row>
    <row r="41" spans="1:64" x14ac:dyDescent="0.25">
      <c r="A41" s="1"/>
      <c r="B41" s="1"/>
      <c r="C41" s="1"/>
      <c r="D41" s="1"/>
      <c r="E41" s="1"/>
      <c r="F41" s="11"/>
      <c r="G41" s="77">
        <v>0.93610000000000004</v>
      </c>
      <c r="H41" s="53">
        <v>1.5</v>
      </c>
      <c r="I41" s="81">
        <f t="shared" ref="I41:W54" si="22">IF(I20&gt;0, IF(TYPE($G$35)=1, $G$35 * ((I20^(-1/($G$35*($H41-I$38))))-1), -(LN(I20)/($H41-I$38))), 0)</f>
        <v>4.500167095426777E-2</v>
      </c>
      <c r="J41" s="81">
        <f t="shared" si="22"/>
        <v>4.4867001388740224E-2</v>
      </c>
      <c r="K41" s="84"/>
      <c r="L41" s="84"/>
      <c r="M41" s="84"/>
      <c r="N41" s="84"/>
      <c r="O41" s="84"/>
      <c r="P41" s="84"/>
      <c r="Q41" s="84"/>
      <c r="R41" s="84"/>
      <c r="S41" s="84"/>
      <c r="T41" s="84"/>
      <c r="U41" s="84"/>
      <c r="V41" s="84"/>
      <c r="W41" s="84"/>
      <c r="X41" s="85"/>
      <c r="Y41" s="1"/>
      <c r="Z41" s="11"/>
      <c r="AA41" s="77">
        <v>0.93610000000000004</v>
      </c>
      <c r="AB41" s="53">
        <v>1.5</v>
      </c>
      <c r="AC41" s="81">
        <f t="shared" ref="AC41:AC54" si="23">IF(AC20&gt;0, IF(TYPE($G$35)=1, $G$35 * ((AC20^(-1/($G$35*($AB41-AC$38))))-1), -(LN(AC20)/($AB41-AC$38))), 0)</f>
        <v>4.500167095426777E-2</v>
      </c>
      <c r="AD41" s="81">
        <f t="shared" ref="AD41" si="24">IF(AD20&gt;0, IF(TYPE($G$35)=1, $G$35 * ((AD20^(-1/($G$35*($H41-AD$38))))-1), -(LN(AD20)/($H41-AD$38))), 0)</f>
        <v>4.4867001388740224E-2</v>
      </c>
      <c r="AE41" s="84"/>
      <c r="AF41" s="84"/>
      <c r="AG41" s="84"/>
      <c r="AH41" s="84"/>
      <c r="AI41" s="84"/>
      <c r="AJ41" s="84"/>
      <c r="AK41" s="84"/>
      <c r="AL41" s="84"/>
      <c r="AM41" s="84"/>
      <c r="AN41" s="84"/>
      <c r="AO41" s="84"/>
      <c r="AP41" s="84"/>
      <c r="AQ41" s="84"/>
      <c r="AR41" s="85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</row>
    <row r="42" spans="1:64" x14ac:dyDescent="0.25">
      <c r="A42" s="1"/>
      <c r="B42" s="1"/>
      <c r="C42" s="1"/>
      <c r="D42" s="1"/>
      <c r="E42" s="1"/>
      <c r="F42" s="11"/>
      <c r="G42" s="77">
        <v>0</v>
      </c>
      <c r="H42" s="53">
        <v>2</v>
      </c>
      <c r="I42" s="81">
        <f t="shared" si="22"/>
        <v>0</v>
      </c>
      <c r="J42" s="81">
        <f t="shared" si="22"/>
        <v>0</v>
      </c>
      <c r="K42" s="81">
        <f t="shared" si="22"/>
        <v>0</v>
      </c>
      <c r="L42" s="84"/>
      <c r="M42" s="84"/>
      <c r="N42" s="84"/>
      <c r="O42" s="84"/>
      <c r="P42" s="84"/>
      <c r="Q42" s="84"/>
      <c r="R42" s="84"/>
      <c r="S42" s="84"/>
      <c r="T42" s="84"/>
      <c r="U42" s="84"/>
      <c r="V42" s="84"/>
      <c r="W42" s="84"/>
      <c r="X42" s="85"/>
      <c r="Y42" s="1"/>
      <c r="Z42" s="11"/>
      <c r="AA42" s="77">
        <v>0</v>
      </c>
      <c r="AB42" s="53">
        <v>2</v>
      </c>
      <c r="AC42" s="81">
        <f t="shared" si="23"/>
        <v>0</v>
      </c>
      <c r="AD42" s="81">
        <f t="shared" ref="AD42:AE42" si="25">IF(AD21&gt;0, IF(TYPE($G$35)=1, $G$35 * ((AD21^(-1/($G$35*($H42-AD$38))))-1), -(LN(AD21)/($H42-AD$38))), 0)</f>
        <v>0</v>
      </c>
      <c r="AE42" s="81">
        <f t="shared" si="25"/>
        <v>0</v>
      </c>
      <c r="AF42" s="84"/>
      <c r="AG42" s="84"/>
      <c r="AH42" s="84"/>
      <c r="AI42" s="84"/>
      <c r="AJ42" s="84"/>
      <c r="AK42" s="84"/>
      <c r="AL42" s="84"/>
      <c r="AM42" s="84"/>
      <c r="AN42" s="84"/>
      <c r="AO42" s="84"/>
      <c r="AP42" s="84"/>
      <c r="AQ42" s="84"/>
      <c r="AR42" s="85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</row>
    <row r="43" spans="1:64" x14ac:dyDescent="0.25">
      <c r="A43" s="1"/>
      <c r="B43" s="1"/>
      <c r="C43" s="1"/>
      <c r="D43" s="1"/>
      <c r="E43" s="1"/>
      <c r="F43" s="11"/>
      <c r="G43" s="77">
        <v>0</v>
      </c>
      <c r="H43" s="53">
        <v>2.5</v>
      </c>
      <c r="I43" s="81">
        <f t="shared" si="22"/>
        <v>0</v>
      </c>
      <c r="J43" s="81">
        <f t="shared" si="22"/>
        <v>0</v>
      </c>
      <c r="K43" s="81">
        <f t="shared" si="22"/>
        <v>0</v>
      </c>
      <c r="L43" s="81">
        <f t="shared" si="22"/>
        <v>0</v>
      </c>
      <c r="M43" s="84"/>
      <c r="N43" s="84"/>
      <c r="O43" s="84"/>
      <c r="P43" s="84"/>
      <c r="Q43" s="84"/>
      <c r="R43" s="84"/>
      <c r="S43" s="84"/>
      <c r="T43" s="84"/>
      <c r="U43" s="84"/>
      <c r="V43" s="84"/>
      <c r="W43" s="84"/>
      <c r="X43" s="85"/>
      <c r="Y43" s="1"/>
      <c r="Z43" s="11"/>
      <c r="AA43" s="77">
        <v>0</v>
      </c>
      <c r="AB43" s="53">
        <v>2.5</v>
      </c>
      <c r="AC43" s="81">
        <f t="shared" si="23"/>
        <v>0</v>
      </c>
      <c r="AD43" s="81">
        <f t="shared" ref="AD43:AF43" si="26">IF(AD22&gt;0, IF(TYPE($G$35)=1, $G$35 * ((AD22^(-1/($G$35*($H43-AD$38))))-1), -(LN(AD22)/($H43-AD$38))), 0)</f>
        <v>0</v>
      </c>
      <c r="AE43" s="81">
        <f t="shared" si="26"/>
        <v>0</v>
      </c>
      <c r="AF43" s="81">
        <f t="shared" si="26"/>
        <v>0</v>
      </c>
      <c r="AG43" s="84"/>
      <c r="AH43" s="84"/>
      <c r="AI43" s="84"/>
      <c r="AJ43" s="84"/>
      <c r="AK43" s="84"/>
      <c r="AL43" s="84"/>
      <c r="AM43" s="84"/>
      <c r="AN43" s="84"/>
      <c r="AO43" s="84"/>
      <c r="AP43" s="84"/>
      <c r="AQ43" s="84"/>
      <c r="AR43" s="85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</row>
    <row r="44" spans="1:64" x14ac:dyDescent="0.25">
      <c r="A44" s="1"/>
      <c r="B44" s="1"/>
      <c r="C44" s="1"/>
      <c r="D44" s="1"/>
      <c r="E44" s="1"/>
      <c r="F44" s="11"/>
      <c r="G44" s="77">
        <v>0</v>
      </c>
      <c r="H44" s="53">
        <v>3</v>
      </c>
      <c r="I44" s="81">
        <f t="shared" si="22"/>
        <v>0</v>
      </c>
      <c r="J44" s="81">
        <f t="shared" si="22"/>
        <v>0</v>
      </c>
      <c r="K44" s="81">
        <f t="shared" si="22"/>
        <v>0</v>
      </c>
      <c r="L44" s="81">
        <f t="shared" si="22"/>
        <v>0</v>
      </c>
      <c r="M44" s="81">
        <f t="shared" si="22"/>
        <v>0</v>
      </c>
      <c r="N44" s="84"/>
      <c r="O44" s="84"/>
      <c r="P44" s="84"/>
      <c r="Q44" s="84"/>
      <c r="R44" s="84"/>
      <c r="S44" s="84"/>
      <c r="T44" s="84"/>
      <c r="U44" s="84"/>
      <c r="V44" s="84"/>
      <c r="W44" s="84"/>
      <c r="X44" s="85"/>
      <c r="Y44" s="1"/>
      <c r="Z44" s="11"/>
      <c r="AA44" s="77">
        <v>0</v>
      </c>
      <c r="AB44" s="53">
        <v>3</v>
      </c>
      <c r="AC44" s="81">
        <f t="shared" si="23"/>
        <v>0</v>
      </c>
      <c r="AD44" s="81">
        <f t="shared" ref="AD44:AG44" si="27">IF(AD23&gt;0, IF(TYPE($G$35)=1, $G$35 * ((AD23^(-1/($G$35*($H44-AD$38))))-1), -(LN(AD23)/($H44-AD$38))), 0)</f>
        <v>0</v>
      </c>
      <c r="AE44" s="81">
        <f t="shared" si="27"/>
        <v>0</v>
      </c>
      <c r="AF44" s="81">
        <f t="shared" si="27"/>
        <v>0</v>
      </c>
      <c r="AG44" s="81">
        <f t="shared" si="27"/>
        <v>0</v>
      </c>
      <c r="AH44" s="84"/>
      <c r="AI44" s="84"/>
      <c r="AJ44" s="84"/>
      <c r="AK44" s="84"/>
      <c r="AL44" s="84"/>
      <c r="AM44" s="84"/>
      <c r="AN44" s="84"/>
      <c r="AO44" s="84"/>
      <c r="AP44" s="84"/>
      <c r="AQ44" s="84"/>
      <c r="AR44" s="85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</row>
    <row r="45" spans="1:64" x14ac:dyDescent="0.25">
      <c r="A45" s="1"/>
      <c r="B45" s="1"/>
      <c r="C45" s="1"/>
      <c r="D45" s="1"/>
      <c r="E45" s="1"/>
      <c r="F45" s="11"/>
      <c r="G45" s="77">
        <v>0</v>
      </c>
      <c r="H45" s="53">
        <v>3.5</v>
      </c>
      <c r="I45" s="81">
        <f t="shared" si="22"/>
        <v>0</v>
      </c>
      <c r="J45" s="81">
        <f t="shared" si="22"/>
        <v>0</v>
      </c>
      <c r="K45" s="81">
        <f t="shared" si="22"/>
        <v>0</v>
      </c>
      <c r="L45" s="81">
        <f t="shared" si="22"/>
        <v>0</v>
      </c>
      <c r="M45" s="81">
        <f t="shared" si="22"/>
        <v>0</v>
      </c>
      <c r="N45" s="81">
        <f t="shared" si="22"/>
        <v>0</v>
      </c>
      <c r="O45" s="84"/>
      <c r="P45" s="84"/>
      <c r="Q45" s="84"/>
      <c r="R45" s="84"/>
      <c r="S45" s="84"/>
      <c r="T45" s="84"/>
      <c r="U45" s="84"/>
      <c r="V45" s="84"/>
      <c r="W45" s="84"/>
      <c r="X45" s="85"/>
      <c r="Y45" s="1"/>
      <c r="Z45" s="11"/>
      <c r="AA45" s="77">
        <v>0</v>
      </c>
      <c r="AB45" s="53">
        <v>3.5</v>
      </c>
      <c r="AC45" s="81">
        <f t="shared" si="23"/>
        <v>0</v>
      </c>
      <c r="AD45" s="81">
        <f t="shared" ref="AD45:AH45" si="28">IF(AD24&gt;0, IF(TYPE($G$35)=1, $G$35 * ((AD24^(-1/($G$35*($H45-AD$38))))-1), -(LN(AD24)/($H45-AD$38))), 0)</f>
        <v>0</v>
      </c>
      <c r="AE45" s="81">
        <f t="shared" si="28"/>
        <v>0</v>
      </c>
      <c r="AF45" s="81">
        <f t="shared" si="28"/>
        <v>0</v>
      </c>
      <c r="AG45" s="81">
        <f t="shared" si="28"/>
        <v>0</v>
      </c>
      <c r="AH45" s="81">
        <f t="shared" si="28"/>
        <v>0</v>
      </c>
      <c r="AI45" s="84"/>
      <c r="AJ45" s="84"/>
      <c r="AK45" s="84"/>
      <c r="AL45" s="84"/>
      <c r="AM45" s="84"/>
      <c r="AN45" s="84"/>
      <c r="AO45" s="84"/>
      <c r="AP45" s="84"/>
      <c r="AQ45" s="84"/>
      <c r="AR45" s="85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</row>
    <row r="46" spans="1:64" x14ac:dyDescent="0.25">
      <c r="A46" s="1"/>
      <c r="B46" s="1"/>
      <c r="C46" s="1"/>
      <c r="D46" s="1"/>
      <c r="E46" s="1"/>
      <c r="F46" s="11"/>
      <c r="G46" s="77">
        <v>0</v>
      </c>
      <c r="H46" s="53">
        <v>4</v>
      </c>
      <c r="I46" s="81">
        <f t="shared" si="22"/>
        <v>0</v>
      </c>
      <c r="J46" s="81">
        <f t="shared" si="22"/>
        <v>0</v>
      </c>
      <c r="K46" s="81">
        <f t="shared" si="22"/>
        <v>0</v>
      </c>
      <c r="L46" s="81">
        <f t="shared" si="22"/>
        <v>0</v>
      </c>
      <c r="M46" s="81">
        <f t="shared" si="22"/>
        <v>0</v>
      </c>
      <c r="N46" s="81">
        <f t="shared" si="22"/>
        <v>0</v>
      </c>
      <c r="O46" s="81">
        <f t="shared" si="22"/>
        <v>0</v>
      </c>
      <c r="P46" s="84"/>
      <c r="Q46" s="84"/>
      <c r="R46" s="84"/>
      <c r="S46" s="84"/>
      <c r="T46" s="84"/>
      <c r="U46" s="84"/>
      <c r="V46" s="84"/>
      <c r="W46" s="84"/>
      <c r="X46" s="85"/>
      <c r="Y46" s="1"/>
      <c r="Z46" s="11"/>
      <c r="AA46" s="77">
        <v>0</v>
      </c>
      <c r="AB46" s="53">
        <v>4</v>
      </c>
      <c r="AC46" s="81">
        <f t="shared" si="23"/>
        <v>0</v>
      </c>
      <c r="AD46" s="81">
        <f t="shared" ref="AD46:AI46" si="29">IF(AD25&gt;0, IF(TYPE($G$35)=1, $G$35 * ((AD25^(-1/($G$35*($H46-AD$38))))-1), -(LN(AD25)/($H46-AD$38))), 0)</f>
        <v>0</v>
      </c>
      <c r="AE46" s="81">
        <f t="shared" si="29"/>
        <v>0</v>
      </c>
      <c r="AF46" s="81">
        <f t="shared" si="29"/>
        <v>0</v>
      </c>
      <c r="AG46" s="81">
        <f t="shared" si="29"/>
        <v>0</v>
      </c>
      <c r="AH46" s="81">
        <f t="shared" si="29"/>
        <v>0</v>
      </c>
      <c r="AI46" s="81">
        <f t="shared" si="29"/>
        <v>0</v>
      </c>
      <c r="AJ46" s="84"/>
      <c r="AK46" s="84"/>
      <c r="AL46" s="84"/>
      <c r="AM46" s="84"/>
      <c r="AN46" s="84"/>
      <c r="AO46" s="84"/>
      <c r="AP46" s="84"/>
      <c r="AQ46" s="84"/>
      <c r="AR46" s="85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</row>
    <row r="47" spans="1:64" x14ac:dyDescent="0.25">
      <c r="A47" s="1"/>
      <c r="B47" s="1"/>
      <c r="C47" s="1"/>
      <c r="D47" s="1"/>
      <c r="E47" s="1"/>
      <c r="F47" s="11"/>
      <c r="G47" s="77">
        <v>0</v>
      </c>
      <c r="H47" s="53">
        <v>4.5</v>
      </c>
      <c r="I47" s="81">
        <f t="shared" si="22"/>
        <v>0</v>
      </c>
      <c r="J47" s="81">
        <f t="shared" si="22"/>
        <v>0</v>
      </c>
      <c r="K47" s="81">
        <f t="shared" si="22"/>
        <v>0</v>
      </c>
      <c r="L47" s="81">
        <f t="shared" si="22"/>
        <v>0</v>
      </c>
      <c r="M47" s="81">
        <f t="shared" si="22"/>
        <v>0</v>
      </c>
      <c r="N47" s="81">
        <f t="shared" si="22"/>
        <v>0</v>
      </c>
      <c r="O47" s="81">
        <f t="shared" si="22"/>
        <v>0</v>
      </c>
      <c r="P47" s="81">
        <f t="shared" si="22"/>
        <v>0</v>
      </c>
      <c r="Q47" s="84"/>
      <c r="R47" s="84"/>
      <c r="S47" s="84"/>
      <c r="T47" s="84"/>
      <c r="U47" s="84"/>
      <c r="V47" s="84"/>
      <c r="W47" s="84"/>
      <c r="X47" s="85"/>
      <c r="Y47" s="1"/>
      <c r="Z47" s="11"/>
      <c r="AA47" s="77">
        <v>0</v>
      </c>
      <c r="AB47" s="53">
        <v>4.5</v>
      </c>
      <c r="AC47" s="81">
        <f t="shared" si="23"/>
        <v>0</v>
      </c>
      <c r="AD47" s="81">
        <f t="shared" ref="AD47:AJ47" si="30">IF(AD26&gt;0, IF(TYPE($G$35)=1, $G$35 * ((AD26^(-1/($G$35*($H47-AD$38))))-1), -(LN(AD26)/($H47-AD$38))), 0)</f>
        <v>0</v>
      </c>
      <c r="AE47" s="81">
        <f t="shared" si="30"/>
        <v>0</v>
      </c>
      <c r="AF47" s="81">
        <f t="shared" si="30"/>
        <v>0</v>
      </c>
      <c r="AG47" s="81">
        <f t="shared" si="30"/>
        <v>0</v>
      </c>
      <c r="AH47" s="81">
        <f t="shared" si="30"/>
        <v>0</v>
      </c>
      <c r="AI47" s="81">
        <f t="shared" si="30"/>
        <v>0</v>
      </c>
      <c r="AJ47" s="81">
        <f t="shared" si="30"/>
        <v>0</v>
      </c>
      <c r="AK47" s="84"/>
      <c r="AL47" s="84"/>
      <c r="AM47" s="84"/>
      <c r="AN47" s="84"/>
      <c r="AO47" s="84"/>
      <c r="AP47" s="84"/>
      <c r="AQ47" s="84"/>
      <c r="AR47" s="85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</row>
    <row r="48" spans="1:64" x14ac:dyDescent="0.25">
      <c r="A48" s="1"/>
      <c r="B48" s="1"/>
      <c r="C48" s="1"/>
      <c r="D48" s="1"/>
      <c r="E48" s="1"/>
      <c r="F48" s="11"/>
      <c r="G48" s="77">
        <v>0</v>
      </c>
      <c r="H48" s="53">
        <v>5</v>
      </c>
      <c r="I48" s="81">
        <f t="shared" si="22"/>
        <v>0</v>
      </c>
      <c r="J48" s="81">
        <f t="shared" si="22"/>
        <v>0</v>
      </c>
      <c r="K48" s="81">
        <f t="shared" si="22"/>
        <v>0</v>
      </c>
      <c r="L48" s="81">
        <f t="shared" si="22"/>
        <v>0</v>
      </c>
      <c r="M48" s="81">
        <f t="shared" si="22"/>
        <v>0</v>
      </c>
      <c r="N48" s="81">
        <f t="shared" si="22"/>
        <v>0</v>
      </c>
      <c r="O48" s="81">
        <f t="shared" si="22"/>
        <v>0</v>
      </c>
      <c r="P48" s="81">
        <f t="shared" si="22"/>
        <v>0</v>
      </c>
      <c r="Q48" s="81">
        <f t="shared" si="22"/>
        <v>0</v>
      </c>
      <c r="R48" s="84"/>
      <c r="S48" s="84"/>
      <c r="T48" s="84"/>
      <c r="U48" s="84"/>
      <c r="V48" s="84"/>
      <c r="W48" s="84"/>
      <c r="X48" s="85"/>
      <c r="Y48" s="1"/>
      <c r="Z48" s="11"/>
      <c r="AA48" s="77">
        <v>0</v>
      </c>
      <c r="AB48" s="53">
        <v>5</v>
      </c>
      <c r="AC48" s="81">
        <f t="shared" si="23"/>
        <v>0</v>
      </c>
      <c r="AD48" s="81">
        <f t="shared" ref="AD48:AK48" si="31">IF(AD27&gt;0, IF(TYPE($G$35)=1, $G$35 * ((AD27^(-1/($G$35*($H48-AD$38))))-1), -(LN(AD27)/($H48-AD$38))), 0)</f>
        <v>0</v>
      </c>
      <c r="AE48" s="81">
        <f t="shared" si="31"/>
        <v>0</v>
      </c>
      <c r="AF48" s="81">
        <f t="shared" si="31"/>
        <v>0</v>
      </c>
      <c r="AG48" s="81">
        <f t="shared" si="31"/>
        <v>0</v>
      </c>
      <c r="AH48" s="81">
        <f t="shared" si="31"/>
        <v>0</v>
      </c>
      <c r="AI48" s="81">
        <f t="shared" si="31"/>
        <v>0</v>
      </c>
      <c r="AJ48" s="81">
        <f t="shared" si="31"/>
        <v>0</v>
      </c>
      <c r="AK48" s="81">
        <f t="shared" si="31"/>
        <v>0</v>
      </c>
      <c r="AL48" s="84"/>
      <c r="AM48" s="84"/>
      <c r="AN48" s="84"/>
      <c r="AO48" s="84"/>
      <c r="AP48" s="84"/>
      <c r="AQ48" s="84"/>
      <c r="AR48" s="85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</row>
    <row r="49" spans="1:64" x14ac:dyDescent="0.25">
      <c r="A49" s="1"/>
      <c r="B49" s="1"/>
      <c r="C49" s="1"/>
      <c r="D49" s="1"/>
      <c r="E49" s="1"/>
      <c r="F49" s="11"/>
      <c r="G49" s="77">
        <v>0</v>
      </c>
      <c r="H49" s="53">
        <v>5.5</v>
      </c>
      <c r="I49" s="81">
        <f t="shared" si="22"/>
        <v>0</v>
      </c>
      <c r="J49" s="81">
        <f t="shared" si="22"/>
        <v>0</v>
      </c>
      <c r="K49" s="81">
        <f t="shared" si="22"/>
        <v>0</v>
      </c>
      <c r="L49" s="81">
        <f t="shared" si="22"/>
        <v>0</v>
      </c>
      <c r="M49" s="81">
        <f t="shared" si="22"/>
        <v>0</v>
      </c>
      <c r="N49" s="81">
        <f t="shared" si="22"/>
        <v>0</v>
      </c>
      <c r="O49" s="81">
        <f t="shared" si="22"/>
        <v>0</v>
      </c>
      <c r="P49" s="81">
        <f t="shared" si="22"/>
        <v>0</v>
      </c>
      <c r="Q49" s="81">
        <f t="shared" si="22"/>
        <v>0</v>
      </c>
      <c r="R49" s="81">
        <f t="shared" si="22"/>
        <v>0</v>
      </c>
      <c r="S49" s="84"/>
      <c r="T49" s="84"/>
      <c r="U49" s="84"/>
      <c r="V49" s="84"/>
      <c r="W49" s="84"/>
      <c r="X49" s="85"/>
      <c r="Y49" s="1"/>
      <c r="Z49" s="11"/>
      <c r="AA49" s="77">
        <v>0</v>
      </c>
      <c r="AB49" s="53">
        <v>5.5</v>
      </c>
      <c r="AC49" s="81">
        <f t="shared" si="23"/>
        <v>0</v>
      </c>
      <c r="AD49" s="81">
        <f t="shared" ref="AD49:AL49" si="32">IF(AD28&gt;0, IF(TYPE($G$35)=1, $G$35 * ((AD28^(-1/($G$35*($H49-AD$38))))-1), -(LN(AD28)/($H49-AD$38))), 0)</f>
        <v>0</v>
      </c>
      <c r="AE49" s="81">
        <f t="shared" si="32"/>
        <v>0</v>
      </c>
      <c r="AF49" s="81">
        <f t="shared" si="32"/>
        <v>0</v>
      </c>
      <c r="AG49" s="81">
        <f t="shared" si="32"/>
        <v>0</v>
      </c>
      <c r="AH49" s="81">
        <f t="shared" si="32"/>
        <v>0</v>
      </c>
      <c r="AI49" s="81">
        <f t="shared" si="32"/>
        <v>0</v>
      </c>
      <c r="AJ49" s="81">
        <f t="shared" si="32"/>
        <v>0</v>
      </c>
      <c r="AK49" s="81">
        <f t="shared" si="32"/>
        <v>0</v>
      </c>
      <c r="AL49" s="81">
        <f t="shared" si="32"/>
        <v>0</v>
      </c>
      <c r="AM49" s="84"/>
      <c r="AN49" s="84"/>
      <c r="AO49" s="84"/>
      <c r="AP49" s="84"/>
      <c r="AQ49" s="84"/>
      <c r="AR49" s="85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</row>
    <row r="50" spans="1:64" x14ac:dyDescent="0.25">
      <c r="A50" s="1"/>
      <c r="B50" s="1"/>
      <c r="C50" s="1"/>
      <c r="D50" s="1"/>
      <c r="E50" s="1"/>
      <c r="F50" s="11"/>
      <c r="G50" s="77">
        <v>0</v>
      </c>
      <c r="H50" s="53">
        <v>6</v>
      </c>
      <c r="I50" s="81">
        <f t="shared" si="22"/>
        <v>0</v>
      </c>
      <c r="J50" s="81">
        <f t="shared" si="22"/>
        <v>0</v>
      </c>
      <c r="K50" s="81">
        <f t="shared" si="22"/>
        <v>0</v>
      </c>
      <c r="L50" s="81">
        <f t="shared" si="22"/>
        <v>0</v>
      </c>
      <c r="M50" s="81">
        <f t="shared" si="22"/>
        <v>0</v>
      </c>
      <c r="N50" s="81">
        <f t="shared" si="22"/>
        <v>0</v>
      </c>
      <c r="O50" s="81">
        <f t="shared" si="22"/>
        <v>0</v>
      </c>
      <c r="P50" s="81">
        <f t="shared" si="22"/>
        <v>0</v>
      </c>
      <c r="Q50" s="81">
        <f t="shared" si="22"/>
        <v>0</v>
      </c>
      <c r="R50" s="81">
        <f t="shared" si="22"/>
        <v>0</v>
      </c>
      <c r="S50" s="81">
        <f t="shared" si="22"/>
        <v>0</v>
      </c>
      <c r="T50" s="84"/>
      <c r="U50" s="84"/>
      <c r="V50" s="84"/>
      <c r="W50" s="84"/>
      <c r="X50" s="85"/>
      <c r="Y50" s="1"/>
      <c r="Z50" s="11"/>
      <c r="AA50" s="77">
        <v>0</v>
      </c>
      <c r="AB50" s="53">
        <v>6</v>
      </c>
      <c r="AC50" s="81">
        <f t="shared" si="23"/>
        <v>0</v>
      </c>
      <c r="AD50" s="81">
        <f t="shared" ref="AD50:AM50" si="33">IF(AD29&gt;0, IF(TYPE($G$35)=1, $G$35 * ((AD29^(-1/($G$35*($H50-AD$38))))-1), -(LN(AD29)/($H50-AD$38))), 0)</f>
        <v>0</v>
      </c>
      <c r="AE50" s="81">
        <f t="shared" si="33"/>
        <v>0</v>
      </c>
      <c r="AF50" s="81">
        <f t="shared" si="33"/>
        <v>0</v>
      </c>
      <c r="AG50" s="81">
        <f t="shared" si="33"/>
        <v>0</v>
      </c>
      <c r="AH50" s="81">
        <f t="shared" si="33"/>
        <v>0</v>
      </c>
      <c r="AI50" s="81">
        <f t="shared" si="33"/>
        <v>0</v>
      </c>
      <c r="AJ50" s="81">
        <f t="shared" si="33"/>
        <v>0</v>
      </c>
      <c r="AK50" s="81">
        <f t="shared" si="33"/>
        <v>0</v>
      </c>
      <c r="AL50" s="81">
        <f t="shared" si="33"/>
        <v>0</v>
      </c>
      <c r="AM50" s="81">
        <f t="shared" si="33"/>
        <v>0</v>
      </c>
      <c r="AN50" s="84"/>
      <c r="AO50" s="84"/>
      <c r="AP50" s="84"/>
      <c r="AQ50" s="84"/>
      <c r="AR50" s="85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</row>
    <row r="51" spans="1:64" x14ac:dyDescent="0.25">
      <c r="A51" s="1"/>
      <c r="B51" s="1"/>
      <c r="C51" s="1"/>
      <c r="D51" s="1"/>
      <c r="E51" s="1"/>
      <c r="F51" s="11"/>
      <c r="G51" s="77">
        <v>0</v>
      </c>
      <c r="H51" s="53">
        <v>6.5</v>
      </c>
      <c r="I51" s="81">
        <f t="shared" si="22"/>
        <v>0</v>
      </c>
      <c r="J51" s="81">
        <f t="shared" si="22"/>
        <v>0</v>
      </c>
      <c r="K51" s="81">
        <f t="shared" si="22"/>
        <v>0</v>
      </c>
      <c r="L51" s="81">
        <f t="shared" si="22"/>
        <v>0</v>
      </c>
      <c r="M51" s="81">
        <f t="shared" si="22"/>
        <v>0</v>
      </c>
      <c r="N51" s="81">
        <f t="shared" si="22"/>
        <v>0</v>
      </c>
      <c r="O51" s="81">
        <f t="shared" si="22"/>
        <v>0</v>
      </c>
      <c r="P51" s="81">
        <f t="shared" si="22"/>
        <v>0</v>
      </c>
      <c r="Q51" s="81">
        <f t="shared" si="22"/>
        <v>0</v>
      </c>
      <c r="R51" s="81">
        <f t="shared" si="22"/>
        <v>0</v>
      </c>
      <c r="S51" s="81">
        <f t="shared" si="22"/>
        <v>0</v>
      </c>
      <c r="T51" s="81">
        <f t="shared" si="22"/>
        <v>0</v>
      </c>
      <c r="U51" s="84"/>
      <c r="V51" s="84"/>
      <c r="W51" s="84"/>
      <c r="X51" s="85"/>
      <c r="Y51" s="1"/>
      <c r="Z51" s="11"/>
      <c r="AA51" s="77">
        <v>0</v>
      </c>
      <c r="AB51" s="53">
        <v>6.5</v>
      </c>
      <c r="AC51" s="81">
        <f t="shared" si="23"/>
        <v>0</v>
      </c>
      <c r="AD51" s="81">
        <f t="shared" ref="AD51:AN51" si="34">IF(AD30&gt;0, IF(TYPE($G$35)=1, $G$35 * ((AD30^(-1/($G$35*($H51-AD$38))))-1), -(LN(AD30)/($H51-AD$38))), 0)</f>
        <v>0</v>
      </c>
      <c r="AE51" s="81">
        <f t="shared" si="34"/>
        <v>0</v>
      </c>
      <c r="AF51" s="81">
        <f t="shared" si="34"/>
        <v>0</v>
      </c>
      <c r="AG51" s="81">
        <f t="shared" si="34"/>
        <v>0</v>
      </c>
      <c r="AH51" s="81">
        <f t="shared" si="34"/>
        <v>0</v>
      </c>
      <c r="AI51" s="81">
        <f t="shared" si="34"/>
        <v>0</v>
      </c>
      <c r="AJ51" s="81">
        <f t="shared" si="34"/>
        <v>0</v>
      </c>
      <c r="AK51" s="81">
        <f t="shared" si="34"/>
        <v>0</v>
      </c>
      <c r="AL51" s="81">
        <f t="shared" si="34"/>
        <v>0</v>
      </c>
      <c r="AM51" s="81">
        <f t="shared" si="34"/>
        <v>0</v>
      </c>
      <c r="AN51" s="81">
        <f t="shared" si="34"/>
        <v>0</v>
      </c>
      <c r="AO51" s="84"/>
      <c r="AP51" s="84"/>
      <c r="AQ51" s="84"/>
      <c r="AR51" s="85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</row>
    <row r="52" spans="1:64" x14ac:dyDescent="0.25">
      <c r="A52" s="1"/>
      <c r="B52" s="1"/>
      <c r="C52" s="1"/>
      <c r="D52" s="1"/>
      <c r="E52" s="1"/>
      <c r="F52" s="11"/>
      <c r="G52" s="77">
        <v>0</v>
      </c>
      <c r="H52" s="53">
        <v>7</v>
      </c>
      <c r="I52" s="81">
        <f t="shared" si="22"/>
        <v>0</v>
      </c>
      <c r="J52" s="81">
        <f t="shared" si="22"/>
        <v>0</v>
      </c>
      <c r="K52" s="81">
        <f t="shared" si="22"/>
        <v>0</v>
      </c>
      <c r="L52" s="81">
        <f t="shared" si="22"/>
        <v>0</v>
      </c>
      <c r="M52" s="81">
        <f t="shared" si="22"/>
        <v>0</v>
      </c>
      <c r="N52" s="81">
        <f t="shared" si="22"/>
        <v>0</v>
      </c>
      <c r="O52" s="81">
        <f t="shared" si="22"/>
        <v>0</v>
      </c>
      <c r="P52" s="81">
        <f t="shared" si="22"/>
        <v>0</v>
      </c>
      <c r="Q52" s="81">
        <f t="shared" si="22"/>
        <v>0</v>
      </c>
      <c r="R52" s="81">
        <f t="shared" si="22"/>
        <v>0</v>
      </c>
      <c r="S52" s="81">
        <f t="shared" si="22"/>
        <v>0</v>
      </c>
      <c r="T52" s="81">
        <f t="shared" si="22"/>
        <v>0</v>
      </c>
      <c r="U52" s="81">
        <f t="shared" si="22"/>
        <v>0</v>
      </c>
      <c r="V52" s="84"/>
      <c r="W52" s="84"/>
      <c r="X52" s="85"/>
      <c r="Y52" s="1"/>
      <c r="Z52" s="11"/>
      <c r="AA52" s="77">
        <v>0</v>
      </c>
      <c r="AB52" s="53">
        <v>7</v>
      </c>
      <c r="AC52" s="81">
        <f t="shared" si="23"/>
        <v>0</v>
      </c>
      <c r="AD52" s="81">
        <f t="shared" ref="AD52:AO52" si="35">IF(AD31&gt;0, IF(TYPE($G$35)=1, $G$35 * ((AD31^(-1/($G$35*($H52-AD$38))))-1), -(LN(AD31)/($H52-AD$38))), 0)</f>
        <v>0</v>
      </c>
      <c r="AE52" s="81">
        <f t="shared" si="35"/>
        <v>0</v>
      </c>
      <c r="AF52" s="81">
        <f t="shared" si="35"/>
        <v>0</v>
      </c>
      <c r="AG52" s="81">
        <f t="shared" si="35"/>
        <v>0</v>
      </c>
      <c r="AH52" s="81">
        <f t="shared" si="35"/>
        <v>0</v>
      </c>
      <c r="AI52" s="81">
        <f t="shared" si="35"/>
        <v>0</v>
      </c>
      <c r="AJ52" s="81">
        <f t="shared" si="35"/>
        <v>0</v>
      </c>
      <c r="AK52" s="81">
        <f t="shared" si="35"/>
        <v>0</v>
      </c>
      <c r="AL52" s="81">
        <f t="shared" si="35"/>
        <v>0</v>
      </c>
      <c r="AM52" s="81">
        <f t="shared" si="35"/>
        <v>0</v>
      </c>
      <c r="AN52" s="81">
        <f t="shared" si="35"/>
        <v>0</v>
      </c>
      <c r="AO52" s="81">
        <f t="shared" si="35"/>
        <v>0</v>
      </c>
      <c r="AP52" s="84"/>
      <c r="AQ52" s="84"/>
      <c r="AR52" s="85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</row>
    <row r="53" spans="1:64" x14ac:dyDescent="0.25">
      <c r="A53" s="1"/>
      <c r="B53" s="1"/>
      <c r="C53" s="1"/>
      <c r="D53" s="1"/>
      <c r="E53" s="1"/>
      <c r="F53" s="11"/>
      <c r="G53" s="77">
        <v>0</v>
      </c>
      <c r="H53" s="53">
        <v>7.5</v>
      </c>
      <c r="I53" s="81">
        <f t="shared" si="22"/>
        <v>0</v>
      </c>
      <c r="J53" s="81">
        <f t="shared" si="22"/>
        <v>0</v>
      </c>
      <c r="K53" s="81">
        <f t="shared" si="22"/>
        <v>0</v>
      </c>
      <c r="L53" s="81">
        <f t="shared" si="22"/>
        <v>0</v>
      </c>
      <c r="M53" s="81">
        <f t="shared" si="22"/>
        <v>0</v>
      </c>
      <c r="N53" s="81">
        <f t="shared" si="22"/>
        <v>0</v>
      </c>
      <c r="O53" s="81">
        <f t="shared" si="22"/>
        <v>0</v>
      </c>
      <c r="P53" s="81">
        <f t="shared" si="22"/>
        <v>0</v>
      </c>
      <c r="Q53" s="81">
        <f t="shared" si="22"/>
        <v>0</v>
      </c>
      <c r="R53" s="81">
        <f t="shared" si="22"/>
        <v>0</v>
      </c>
      <c r="S53" s="81">
        <f t="shared" si="22"/>
        <v>0</v>
      </c>
      <c r="T53" s="81">
        <f t="shared" si="22"/>
        <v>0</v>
      </c>
      <c r="U53" s="81">
        <f t="shared" si="22"/>
        <v>0</v>
      </c>
      <c r="V53" s="81">
        <f t="shared" si="22"/>
        <v>0</v>
      </c>
      <c r="W53" s="84"/>
      <c r="X53" s="85"/>
      <c r="Y53" s="1"/>
      <c r="Z53" s="11"/>
      <c r="AA53" s="77">
        <v>0</v>
      </c>
      <c r="AB53" s="53">
        <v>7.5</v>
      </c>
      <c r="AC53" s="81">
        <f t="shared" si="23"/>
        <v>0</v>
      </c>
      <c r="AD53" s="81">
        <f t="shared" ref="AD53:AP53" si="36">IF(AD32&gt;0, IF(TYPE($G$35)=1, $G$35 * ((AD32^(-1/($G$35*($H53-AD$38))))-1), -(LN(AD32)/($H53-AD$38))), 0)</f>
        <v>0</v>
      </c>
      <c r="AE53" s="81">
        <f t="shared" si="36"/>
        <v>0</v>
      </c>
      <c r="AF53" s="81">
        <f t="shared" si="36"/>
        <v>0</v>
      </c>
      <c r="AG53" s="81">
        <f t="shared" si="36"/>
        <v>0</v>
      </c>
      <c r="AH53" s="81">
        <f t="shared" si="36"/>
        <v>0</v>
      </c>
      <c r="AI53" s="81">
        <f t="shared" si="36"/>
        <v>0</v>
      </c>
      <c r="AJ53" s="81">
        <f t="shared" si="36"/>
        <v>0</v>
      </c>
      <c r="AK53" s="81">
        <f t="shared" si="36"/>
        <v>0</v>
      </c>
      <c r="AL53" s="81">
        <f t="shared" si="36"/>
        <v>0</v>
      </c>
      <c r="AM53" s="81">
        <f t="shared" si="36"/>
        <v>0</v>
      </c>
      <c r="AN53" s="81">
        <f t="shared" si="36"/>
        <v>0</v>
      </c>
      <c r="AO53" s="81">
        <f t="shared" si="36"/>
        <v>0</v>
      </c>
      <c r="AP53" s="81">
        <f t="shared" si="36"/>
        <v>0</v>
      </c>
      <c r="AQ53" s="84"/>
      <c r="AR53" s="85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</row>
    <row r="54" spans="1:64" ht="15.75" thickBot="1" x14ac:dyDescent="0.3">
      <c r="A54" s="1"/>
      <c r="B54" s="1"/>
      <c r="C54" s="1"/>
      <c r="D54" s="1"/>
      <c r="E54" s="1"/>
      <c r="F54" s="13"/>
      <c r="G54" s="80">
        <v>0</v>
      </c>
      <c r="H54" s="56">
        <v>8</v>
      </c>
      <c r="I54" s="82">
        <f t="shared" si="22"/>
        <v>0</v>
      </c>
      <c r="J54" s="82">
        <f t="shared" si="22"/>
        <v>0</v>
      </c>
      <c r="K54" s="82">
        <f t="shared" si="22"/>
        <v>0</v>
      </c>
      <c r="L54" s="82">
        <f t="shared" si="22"/>
        <v>0</v>
      </c>
      <c r="M54" s="82">
        <f t="shared" si="22"/>
        <v>0</v>
      </c>
      <c r="N54" s="82">
        <f t="shared" si="22"/>
        <v>0</v>
      </c>
      <c r="O54" s="82">
        <f t="shared" si="22"/>
        <v>0</v>
      </c>
      <c r="P54" s="82">
        <f t="shared" si="22"/>
        <v>0</v>
      </c>
      <c r="Q54" s="82">
        <f t="shared" si="22"/>
        <v>0</v>
      </c>
      <c r="R54" s="82">
        <f t="shared" si="22"/>
        <v>0</v>
      </c>
      <c r="S54" s="82">
        <f t="shared" si="22"/>
        <v>0</v>
      </c>
      <c r="T54" s="82">
        <f t="shared" si="22"/>
        <v>0</v>
      </c>
      <c r="U54" s="82">
        <f t="shared" si="22"/>
        <v>0</v>
      </c>
      <c r="V54" s="82">
        <f t="shared" si="22"/>
        <v>0</v>
      </c>
      <c r="W54" s="82">
        <f t="shared" si="22"/>
        <v>0</v>
      </c>
      <c r="X54" s="86"/>
      <c r="Y54" s="1"/>
      <c r="Z54" s="13"/>
      <c r="AA54" s="80">
        <v>0</v>
      </c>
      <c r="AB54" s="56">
        <v>8</v>
      </c>
      <c r="AC54" s="82">
        <f t="shared" si="23"/>
        <v>0</v>
      </c>
      <c r="AD54" s="82">
        <f t="shared" ref="AD54:AQ54" si="37">IF(AD33&gt;0, IF(TYPE($G$35)=1, $G$35 * ((AD33^(-1/($G$35*($H54-AD$38))))-1), -(LN(AD33)/($H54-AD$38))), 0)</f>
        <v>0</v>
      </c>
      <c r="AE54" s="82">
        <f t="shared" si="37"/>
        <v>0</v>
      </c>
      <c r="AF54" s="82">
        <f t="shared" si="37"/>
        <v>0</v>
      </c>
      <c r="AG54" s="82">
        <f t="shared" si="37"/>
        <v>0</v>
      </c>
      <c r="AH54" s="82">
        <f t="shared" si="37"/>
        <v>0</v>
      </c>
      <c r="AI54" s="82">
        <f t="shared" si="37"/>
        <v>0</v>
      </c>
      <c r="AJ54" s="82">
        <f t="shared" si="37"/>
        <v>0</v>
      </c>
      <c r="AK54" s="82">
        <f t="shared" si="37"/>
        <v>0</v>
      </c>
      <c r="AL54" s="82">
        <f t="shared" si="37"/>
        <v>0</v>
      </c>
      <c r="AM54" s="82">
        <f t="shared" si="37"/>
        <v>0</v>
      </c>
      <c r="AN54" s="82">
        <f t="shared" si="37"/>
        <v>0</v>
      </c>
      <c r="AO54" s="82">
        <f t="shared" si="37"/>
        <v>0</v>
      </c>
      <c r="AP54" s="82">
        <f t="shared" si="37"/>
        <v>0</v>
      </c>
      <c r="AQ54" s="82">
        <f t="shared" si="37"/>
        <v>0</v>
      </c>
      <c r="AR54" s="86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</row>
    <row r="55" spans="1:64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</row>
    <row r="56" spans="1:64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</row>
    <row r="57" spans="1:64" ht="24" x14ac:dyDescent="0.4">
      <c r="A57" s="1"/>
      <c r="B57" s="1"/>
      <c r="C57" s="1"/>
      <c r="D57" s="1"/>
      <c r="E57" s="1"/>
      <c r="F57" s="144" t="s">
        <v>194</v>
      </c>
      <c r="G57" s="1"/>
      <c r="H57" s="1"/>
      <c r="I57" s="1"/>
      <c r="J57" s="1"/>
      <c r="K57" s="1"/>
      <c r="L57" s="69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</row>
    <row r="58" spans="1:64" ht="15.75" thickBo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</row>
    <row r="59" spans="1:64" x14ac:dyDescent="0.25">
      <c r="A59" s="1"/>
      <c r="B59" s="1"/>
      <c r="C59" s="1"/>
      <c r="D59" s="1"/>
      <c r="E59" s="1"/>
      <c r="F59" s="8" t="s">
        <v>5</v>
      </c>
      <c r="G59" s="9"/>
      <c r="H59" s="51">
        <f>D7</f>
        <v>100000000</v>
      </c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</row>
    <row r="60" spans="1:64" x14ac:dyDescent="0.25">
      <c r="A60" s="1"/>
      <c r="B60" s="1"/>
      <c r="C60" s="1"/>
      <c r="D60" s="1"/>
      <c r="E60" s="1"/>
      <c r="F60" s="11" t="s">
        <v>20</v>
      </c>
      <c r="G60" s="1"/>
      <c r="H60" s="54">
        <f>D9</f>
        <v>0.5</v>
      </c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</row>
    <row r="61" spans="1:64" x14ac:dyDescent="0.25">
      <c r="A61" s="1"/>
      <c r="B61" s="1"/>
      <c r="C61" s="1"/>
      <c r="D61" s="1"/>
      <c r="E61" s="1"/>
      <c r="F61" s="11" t="s">
        <v>195</v>
      </c>
      <c r="G61" s="1"/>
      <c r="H61" s="54">
        <f>INDEX(H13:W13, 1, MATCH(D14, H8:W8, 0))</f>
        <v>0.95709999999999995</v>
      </c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</row>
    <row r="62" spans="1:64" x14ac:dyDescent="0.25">
      <c r="A62" s="1"/>
      <c r="B62" s="1"/>
      <c r="C62" s="1"/>
      <c r="D62" s="1"/>
      <c r="E62" s="1"/>
      <c r="F62" s="11" t="s">
        <v>96</v>
      </c>
      <c r="G62" s="1"/>
      <c r="H62" s="54">
        <f>INDEX(I39:X54, MATCH(D14, H39:H54, 0), MATCH(D13, I38:X38, 0))</f>
        <v>4.513634938877864E-2</v>
      </c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</row>
    <row r="63" spans="1:64" x14ac:dyDescent="0.25">
      <c r="A63" s="1"/>
      <c r="B63" s="1"/>
      <c r="C63" s="1"/>
      <c r="D63" s="1"/>
      <c r="E63" s="1"/>
      <c r="F63" s="11" t="s">
        <v>102</v>
      </c>
      <c r="G63" s="1"/>
      <c r="H63" s="54">
        <f>INDEX(AC39:AR54, MATCH(D14,AB39:AB54,0), MATCH(D13,AC38:AR38,0))</f>
        <v>4.513634938877864E-2</v>
      </c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</row>
    <row r="64" spans="1:64" ht="15.75" thickBot="1" x14ac:dyDescent="0.3">
      <c r="A64" s="1"/>
      <c r="B64" s="1"/>
      <c r="C64" s="1"/>
      <c r="D64" s="1"/>
      <c r="E64" s="1"/>
      <c r="F64" s="13" t="s">
        <v>196</v>
      </c>
      <c r="G64" s="14"/>
      <c r="H64" s="25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</row>
    <row r="65" spans="1:64" ht="15.75" thickBot="1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</row>
    <row r="66" spans="1:64" ht="15.75" thickBot="1" x14ac:dyDescent="0.3">
      <c r="A66" s="1"/>
      <c r="B66" s="1"/>
      <c r="C66" s="1"/>
      <c r="D66" s="1"/>
      <c r="E66" s="1"/>
      <c r="F66" s="43" t="s">
        <v>197</v>
      </c>
      <c r="G66" s="44"/>
      <c r="H66" s="127" t="b">
        <v>0</v>
      </c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</row>
    <row r="67" spans="1:64" ht="15.75" thickBot="1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</row>
    <row r="68" spans="1:64" ht="15.75" thickBot="1" x14ac:dyDescent="0.3">
      <c r="A68" s="1"/>
      <c r="B68" s="1"/>
      <c r="C68" s="1"/>
      <c r="D68" s="1"/>
      <c r="E68" s="1"/>
      <c r="F68" s="43" t="s">
        <v>198</v>
      </c>
      <c r="G68" s="44"/>
      <c r="H68" s="64">
        <f>IF(H66=FALSE, H59*H60*H61*(H63-H62), H59*H60*H61*(H64-H62))</f>
        <v>0</v>
      </c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</row>
    <row r="69" spans="1:64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</row>
    <row r="70" spans="1:64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</row>
    <row r="71" spans="1:64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</row>
    <row r="72" spans="1:64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</row>
    <row r="73" spans="1:64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</row>
    <row r="74" spans="1:64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</row>
    <row r="75" spans="1:64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</row>
    <row r="76" spans="1:64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</row>
    <row r="77" spans="1:64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</row>
    <row r="78" spans="1:64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</row>
    <row r="79" spans="1:64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</row>
    <row r="80" spans="1:64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</row>
    <row r="81" spans="1:64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</row>
    <row r="82" spans="1:64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</row>
    <row r="83" spans="1:64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</row>
    <row r="84" spans="1:64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</row>
    <row r="85" spans="1:64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</row>
    <row r="86" spans="1:64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</row>
    <row r="87" spans="1:64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</row>
    <row r="88" spans="1:64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</row>
    <row r="89" spans="1:64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</row>
    <row r="90" spans="1:64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</row>
    <row r="91" spans="1:64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</row>
    <row r="92" spans="1:64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</row>
    <row r="93" spans="1:64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</row>
    <row r="94" spans="1:64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</row>
    <row r="95" spans="1:64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</row>
    <row r="96" spans="1:64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</row>
    <row r="97" spans="1:64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</row>
    <row r="98" spans="1:64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</row>
    <row r="99" spans="1:64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</row>
    <row r="100" spans="1:64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</row>
    <row r="101" spans="1:64" x14ac:dyDescent="0.2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</row>
    <row r="102" spans="1:64" x14ac:dyDescent="0.2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</row>
    <row r="103" spans="1:64" x14ac:dyDescent="0.2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</row>
    <row r="104" spans="1:64" x14ac:dyDescent="0.2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</row>
    <row r="105" spans="1:64" x14ac:dyDescent="0.2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</row>
    <row r="106" spans="1:64" x14ac:dyDescent="0.25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</row>
    <row r="107" spans="1:64" x14ac:dyDescent="0.2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</row>
    <row r="108" spans="1:64" x14ac:dyDescent="0.2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</row>
    <row r="109" spans="1:64" x14ac:dyDescent="0.2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</row>
    <row r="110" spans="1:64" x14ac:dyDescent="0.2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</row>
  </sheetData>
  <dataConsolidate/>
  <mergeCells count="3">
    <mergeCell ref="B2:F2"/>
    <mergeCell ref="B4:G4"/>
    <mergeCell ref="H12:J12"/>
  </mergeCells>
  <conditionalFormatting sqref="H54 X54 AB54 AR54">
    <cfRule type="expression" dxfId="24" priority="16">
      <formula>AND(#REF!=$D$14+$D$9, I$17=$D$13+$D$9)</formula>
    </cfRule>
  </conditionalFormatting>
  <conditionalFormatting sqref="H9:W9">
    <cfRule type="expression" dxfId="23" priority="13">
      <formula>H7&lt;=$D$10</formula>
    </cfRule>
    <cfRule type="expression" dxfId="22" priority="14">
      <formula>H7&gt;$D$10</formula>
    </cfRule>
  </conditionalFormatting>
  <conditionalFormatting sqref="H13:W13">
    <cfRule type="expression" dxfId="21" priority="7">
      <formula>H7&gt;$D$10</formula>
    </cfRule>
    <cfRule type="expression" dxfId="20" priority="8">
      <formula>H7&gt;$D$10</formula>
    </cfRule>
  </conditionalFormatting>
  <conditionalFormatting sqref="H17:X33 AB17:AR33 H38:X40 AB38:AR40 H41:H53 J41:X53 AB41:AB53 AD41:AR53 I41:I54 AC41:AC54 J54:W54 AD54:AQ54">
    <cfRule type="expression" dxfId="19" priority="5">
      <formula>AND($H18=$D$14+$D$9, I$17=$D$13+$D$9)</formula>
    </cfRule>
  </conditionalFormatting>
  <dataValidations count="3">
    <dataValidation type="list" allowBlank="1" showInputMessage="1" showErrorMessage="1" sqref="D8" xr:uid="{57D9E43E-CAFA-4567-829C-DB82094D361F}">
      <formula1>"1,2,4,Continuous"</formula1>
    </dataValidation>
    <dataValidation type="list" allowBlank="1" showInputMessage="1" showErrorMessage="1" sqref="G35" xr:uid="{673D0594-5A3D-45A1-B09C-2B3B074BA315}">
      <formula1>"1,2,4,Cont"</formula1>
    </dataValidation>
    <dataValidation type="list" allowBlank="1" showInputMessage="1" showErrorMessage="1" sqref="H66" xr:uid="{18027F91-1B2B-4435-BE01-ADA1BF17E9E2}">
      <formula1>"TRUE, FALSE"</formula1>
    </dataValidation>
  </dataValidations>
  <hyperlinks>
    <hyperlink ref="H12" location="'Rate and discount'!B27" display="'Rate and discount'!B27" xr:uid="{1C07979D-7CAF-4D4D-B8CB-2613EEFEC66A}"/>
  </hyperlink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725C71-7651-4F22-A366-DE6BA7564E1A}">
  <sheetPr codeName="Sheet6"/>
  <dimension ref="A1:BB150"/>
  <sheetViews>
    <sheetView tabSelected="1" topLeftCell="A33" workbookViewId="0">
      <selection activeCell="B59" sqref="B59"/>
    </sheetView>
  </sheetViews>
  <sheetFormatPr defaultRowHeight="15" x14ac:dyDescent="0.25"/>
  <cols>
    <col min="2" max="2" width="19.5703125" bestFit="1" customWidth="1"/>
    <col min="4" max="4" width="10.7109375" customWidth="1"/>
    <col min="6" max="6" width="12.28515625" customWidth="1"/>
    <col min="26" max="26" width="11.85546875" bestFit="1" customWidth="1"/>
  </cols>
  <sheetData>
    <row r="1" spans="1:54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</row>
    <row r="2" spans="1:54" ht="20.25" thickBot="1" x14ac:dyDescent="0.35">
      <c r="A2" s="1"/>
      <c r="B2" s="153" t="s">
        <v>141</v>
      </c>
      <c r="C2" s="153"/>
      <c r="D2" s="153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</row>
    <row r="3" spans="1:54" ht="15.75" thickTop="1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</row>
    <row r="4" spans="1:54" ht="18" thickBot="1" x14ac:dyDescent="0.35">
      <c r="A4" s="1"/>
      <c r="B4" s="147" t="s">
        <v>105</v>
      </c>
      <c r="C4" s="147"/>
      <c r="D4" s="147"/>
      <c r="E4" s="147"/>
      <c r="F4" s="147"/>
      <c r="G4" s="147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</row>
    <row r="5" spans="1:54" ht="15.75" thickTop="1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</row>
    <row r="6" spans="1:54" ht="15.75" thickBot="1" x14ac:dyDescent="0.3">
      <c r="A6" s="1"/>
      <c r="B6" s="1" t="s">
        <v>3</v>
      </c>
      <c r="C6" s="1"/>
      <c r="D6" s="1"/>
      <c r="E6" s="1"/>
      <c r="F6" s="1" t="s">
        <v>15</v>
      </c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</row>
    <row r="7" spans="1:54" x14ac:dyDescent="0.25">
      <c r="A7" s="1"/>
      <c r="B7" s="8" t="s">
        <v>19</v>
      </c>
      <c r="C7" s="9" t="s">
        <v>5</v>
      </c>
      <c r="D7" s="21">
        <f>1000000</f>
        <v>1000000</v>
      </c>
      <c r="E7" s="1"/>
      <c r="F7" s="8" t="s">
        <v>21</v>
      </c>
      <c r="G7" s="9">
        <v>0</v>
      </c>
      <c r="H7" s="9">
        <v>1</v>
      </c>
      <c r="I7" s="9">
        <v>2</v>
      </c>
      <c r="J7" s="9">
        <v>3</v>
      </c>
      <c r="K7" s="9">
        <v>4</v>
      </c>
      <c r="L7" s="9">
        <v>5</v>
      </c>
      <c r="M7" s="9">
        <v>6</v>
      </c>
      <c r="N7" s="9">
        <v>7</v>
      </c>
      <c r="O7" s="9">
        <v>8</v>
      </c>
      <c r="P7" s="9">
        <v>9</v>
      </c>
      <c r="Q7" s="9">
        <v>10</v>
      </c>
      <c r="R7" s="9">
        <v>11</v>
      </c>
      <c r="S7" s="9">
        <v>12</v>
      </c>
      <c r="T7" s="9">
        <v>13</v>
      </c>
      <c r="U7" s="9">
        <v>14</v>
      </c>
      <c r="V7" s="9">
        <v>15</v>
      </c>
      <c r="W7" s="10">
        <v>16</v>
      </c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</row>
    <row r="8" spans="1:54" x14ac:dyDescent="0.25">
      <c r="A8" s="1"/>
      <c r="B8" s="11" t="s">
        <v>8</v>
      </c>
      <c r="C8" s="1" t="s">
        <v>9</v>
      </c>
      <c r="D8" s="23">
        <v>2</v>
      </c>
      <c r="E8" s="1"/>
      <c r="F8" s="11" t="s">
        <v>22</v>
      </c>
      <c r="G8" s="1"/>
      <c r="H8" s="1" cm="1">
        <f t="array" ref="H8">IF(TYPE($D$9)=1, $D$9*H7, Cont)</f>
        <v>0.5</v>
      </c>
      <c r="I8" s="1" cm="1">
        <f t="array" ref="I8">IF(TYPE($D$9)=1, $D$9*I7, Cont)</f>
        <v>1</v>
      </c>
      <c r="J8" s="1" cm="1">
        <f t="array" ref="J8">IF(TYPE($D$9)=1, $D$9*J7, Cont)</f>
        <v>1.5</v>
      </c>
      <c r="K8" s="1" cm="1">
        <f t="array" ref="K8">IF(TYPE($D$9)=1, $D$9*K7, Cont)</f>
        <v>2</v>
      </c>
      <c r="L8" s="1" cm="1">
        <f t="array" ref="L8">IF(TYPE($D$9)=1, $D$9*L7, Cont)</f>
        <v>2.5</v>
      </c>
      <c r="M8" s="1" cm="1">
        <f t="array" ref="M8">IF(TYPE($D$9)=1, $D$9*M7, Cont)</f>
        <v>3</v>
      </c>
      <c r="N8" s="1" cm="1">
        <f t="array" ref="N8">IF(TYPE($D$9)=1, $D$9*N7, Cont)</f>
        <v>3.5</v>
      </c>
      <c r="O8" s="1" cm="1">
        <f t="array" ref="O8">IF(TYPE($D$9)=1, $D$9*O7, Cont)</f>
        <v>4</v>
      </c>
      <c r="P8" s="1" cm="1">
        <f t="array" ref="P8">IF(TYPE($D$9)=1, $D$9*P7, Cont)</f>
        <v>4.5</v>
      </c>
      <c r="Q8" s="1" cm="1">
        <f t="array" ref="Q8">IF(TYPE($D$9)=1, $D$9*Q7, Cont)</f>
        <v>5</v>
      </c>
      <c r="R8" s="1" cm="1">
        <f t="array" ref="R8">IF(TYPE($D$9)=1, $D$9*R7, Cont)</f>
        <v>5.5</v>
      </c>
      <c r="S8" s="1" cm="1">
        <f t="array" ref="S8">IF(TYPE($D$9)=1, $D$9*S7, Cont)</f>
        <v>6</v>
      </c>
      <c r="T8" s="1" cm="1">
        <f t="array" ref="T8">IF(TYPE($D$9)=1, $D$9*T7, Cont)</f>
        <v>6.5</v>
      </c>
      <c r="U8" s="1" cm="1">
        <f t="array" ref="U8">IF(TYPE($D$9)=1, $D$9*U7, Cont)</f>
        <v>7</v>
      </c>
      <c r="V8" s="1" cm="1">
        <f t="array" ref="V8">IF(TYPE($D$9)=1, $D$9*V7, Cont)</f>
        <v>7.5</v>
      </c>
      <c r="W8" s="12" cm="1">
        <f t="array" ref="W8">IF(TYPE($D$9)=1, $D$9*W7, Cont)</f>
        <v>8</v>
      </c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</row>
    <row r="9" spans="1:54" ht="15.75" thickBot="1" x14ac:dyDescent="0.3">
      <c r="A9" s="1"/>
      <c r="B9" s="11" t="s">
        <v>20</v>
      </c>
      <c r="C9" s="15" t="s">
        <v>11</v>
      </c>
      <c r="D9" s="54">
        <f>1/D8</f>
        <v>0.5</v>
      </c>
      <c r="E9" s="1"/>
      <c r="F9" s="13" t="s">
        <v>91</v>
      </c>
      <c r="G9" s="56">
        <v>1</v>
      </c>
      <c r="H9" s="42">
        <v>0.97870000000000001</v>
      </c>
      <c r="I9" s="42">
        <v>0.95709999999999995</v>
      </c>
      <c r="J9" s="42">
        <v>0.93610000000000004</v>
      </c>
      <c r="K9" s="42">
        <v>0.92889999999999995</v>
      </c>
      <c r="L9" s="42"/>
      <c r="M9" s="42"/>
      <c r="N9" s="42"/>
      <c r="O9" s="42"/>
      <c r="P9" s="42"/>
      <c r="Q9" s="42"/>
      <c r="R9" s="42"/>
      <c r="S9" s="42"/>
      <c r="T9" s="42"/>
      <c r="U9" s="42"/>
      <c r="V9" s="42"/>
      <c r="W9" s="25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</row>
    <row r="10" spans="1:54" ht="15.75" thickBot="1" x14ac:dyDescent="0.3">
      <c r="A10" s="1"/>
      <c r="B10" s="13" t="s">
        <v>61</v>
      </c>
      <c r="C10" s="14"/>
      <c r="D10" s="25">
        <v>4</v>
      </c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</row>
    <row r="11" spans="1:54" ht="15.75" thickBot="1" x14ac:dyDescent="0.3">
      <c r="A11" s="1"/>
      <c r="B11" s="1"/>
      <c r="C11" s="1"/>
      <c r="D11" s="1"/>
      <c r="E11" s="1"/>
      <c r="F11" s="59" t="s">
        <v>199</v>
      </c>
      <c r="G11" s="145" cm="1">
        <f t="array" ref="G11">IF(H9&gt;0, $D$8*((G9-LOOKUP(2, $G$9/($H$9:$W$9&lt;&gt;0), $H$9:$W$9))/(SUM(H$9:W$9))), 0)</f>
        <v>3.7413176173437195E-2</v>
      </c>
      <c r="H11" s="145" cm="1">
        <f t="array" ref="H11">IF(I9&gt;0, $D$8*((H9-LOOKUP(2, $G$9/($H$9:$W$9&lt;&gt;0), $H$9:$W$9))/(SUM(I$9:X$9))), 0)</f>
        <v>3.5292867013925852E-2</v>
      </c>
      <c r="I11" s="145" cm="1">
        <f t="array" ref="I11">IF(J9&gt;0, $D$8*((I9-LOOKUP(2, $G$9/($H$9:$W$9&lt;&gt;0), $H$9:$W$9))/(SUM(J$9:Y$9))), 0)</f>
        <v>3.024128686327078E-2</v>
      </c>
      <c r="J11" s="145" cm="1">
        <f t="array" ref="J11">IF(K9&gt;0, $D$8*((J9-LOOKUP(2, $G$9/($H$9:$W$9&lt;&gt;0), $H$9:$W$9))/(SUM(K$9:Z$9))), 0)</f>
        <v>1.5502206911400787E-2</v>
      </c>
      <c r="K11" s="145" cm="1">
        <f t="array" ref="K11">IF(L9&gt;0, $D$8*((K9-LOOKUP(2, $G$9/($H$9:$W$9&lt;&gt;0), $H$9:$W$9))/(SUM(L$9:AA$9))), 0)</f>
        <v>0</v>
      </c>
      <c r="L11" s="145" cm="1">
        <f t="array" ref="L11">IF(M9&gt;0, $D$8*((L9-LOOKUP(2, $G$9/($H$9:$W$9&lt;&gt;0), $H$9:$W$9))/(SUM(M$9:AB$9))), 0)</f>
        <v>0</v>
      </c>
      <c r="M11" s="145" cm="1">
        <f t="array" ref="M11">IF(N9&gt;0, $D$8*((M9-LOOKUP(2, $G$9/($H$9:$W$9&lt;&gt;0), $H$9:$W$9))/(SUM(N$9:AC$9))), 0)</f>
        <v>0</v>
      </c>
      <c r="N11" s="145" cm="1">
        <f t="array" ref="N11">IF(O9&gt;0, $D$8*((N9-LOOKUP(2, $G$9/($H$9:$W$9&lt;&gt;0), $H$9:$W$9))/(SUM(O$9:AD$9))), 0)</f>
        <v>0</v>
      </c>
      <c r="O11" s="145" cm="1">
        <f t="array" ref="O11">IF(P9&gt;0, $D$8*((O9-LOOKUP(2, $G$9/($H$9:$W$9&lt;&gt;0), $H$9:$W$9))/(SUM(P$9:AE$9))), 0)</f>
        <v>0</v>
      </c>
      <c r="P11" s="145" cm="1">
        <f t="array" ref="P11">IF(Q9&gt;0, $D$8*((P9-LOOKUP(2, $G$9/($H$9:$W$9&lt;&gt;0), $H$9:$W$9))/(SUM(Q$9:AF$9))), 0)</f>
        <v>0</v>
      </c>
      <c r="Q11" s="145" cm="1">
        <f t="array" ref="Q11">IF(R9&gt;0, $D$8*((Q9-LOOKUP(2, $G$9/($H$9:$W$9&lt;&gt;0), $H$9:$W$9))/(SUM(R$9:AG$9))), 0)</f>
        <v>0</v>
      </c>
      <c r="R11" s="145" cm="1">
        <f t="array" ref="R11">IF(S9&gt;0, $D$8*((R9-LOOKUP(2, $G$9/($H$9:$W$9&lt;&gt;0), $H$9:$W$9))/(SUM(S$9:AH$9))), 0)</f>
        <v>0</v>
      </c>
      <c r="S11" s="145" cm="1">
        <f t="array" ref="S11">IF(T9&gt;0, $D$8*((S9-LOOKUP(2, $G$9/($H$9:$W$9&lt;&gt;0), $H$9:$W$9))/(SUM(T$9:AI$9))), 0)</f>
        <v>0</v>
      </c>
      <c r="T11" s="145" cm="1">
        <f t="array" ref="T11">IF(U9&gt;0, $D$8*((T9-LOOKUP(2, $G$9/($H$9:$W$9&lt;&gt;0), $H$9:$W$9))/(SUM(U$9:AJ$9))), 0)</f>
        <v>0</v>
      </c>
      <c r="U11" s="145" cm="1">
        <f t="array" ref="U11">IF(V9&gt;0, $D$8*((U9-LOOKUP(2, $G$9/($H$9:$W$9&lt;&gt;0), $H$9:$W$9))/(SUM(V$9:AK$9))), 0)</f>
        <v>0</v>
      </c>
      <c r="V11" s="145" cm="1">
        <f t="array" ref="V11">IF(W9&gt;0, $D$8*((V9-LOOKUP(2, $G$9/($H$9:$W$9&lt;&gt;0), $H$9:$W$9))/(SUM(W$9:AL$9))), 0)</f>
        <v>0</v>
      </c>
      <c r="W11" s="146" cm="1">
        <f t="array" ref="W11">IF(X9&gt;0, $D$8*((W9-LOOKUP(2, $G$9/($H$9:$W$9&lt;&gt;0), $H$9:$W$9))/(SUM(X$9:AM$9))), 0)</f>
        <v>0</v>
      </c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</row>
    <row r="12" spans="1:54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</row>
    <row r="13" spans="1:54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</row>
    <row r="14" spans="1:54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</row>
    <row r="15" spans="1:54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</row>
    <row r="16" spans="1:54" ht="18" thickBot="1" x14ac:dyDescent="0.35">
      <c r="A16" s="1"/>
      <c r="B16" s="147" t="s">
        <v>106</v>
      </c>
      <c r="C16" s="147"/>
      <c r="D16" s="147"/>
      <c r="E16" s="147"/>
      <c r="F16" s="147"/>
      <c r="G16" s="147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</row>
    <row r="17" spans="1:54" ht="15.75" thickTop="1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</row>
    <row r="18" spans="1:54" ht="15.75" thickBot="1" x14ac:dyDescent="0.3">
      <c r="A18" s="1"/>
      <c r="B18" s="1" t="s">
        <v>3</v>
      </c>
      <c r="C18" s="1"/>
      <c r="D18" s="1"/>
      <c r="E18" s="1"/>
      <c r="F18" s="1" t="s">
        <v>15</v>
      </c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</row>
    <row r="19" spans="1:54" x14ac:dyDescent="0.25">
      <c r="A19" s="1"/>
      <c r="B19" s="8" t="s">
        <v>19</v>
      </c>
      <c r="C19" s="9" t="s">
        <v>5</v>
      </c>
      <c r="D19" s="21">
        <f>1000000</f>
        <v>1000000</v>
      </c>
      <c r="E19" s="1"/>
      <c r="F19" s="8" t="s">
        <v>21</v>
      </c>
      <c r="G19" s="9">
        <v>0</v>
      </c>
      <c r="H19" s="9">
        <v>1</v>
      </c>
      <c r="I19" s="9">
        <v>2</v>
      </c>
      <c r="J19" s="9">
        <v>3</v>
      </c>
      <c r="K19" s="9">
        <v>4</v>
      </c>
      <c r="L19" s="9">
        <v>5</v>
      </c>
      <c r="M19" s="9">
        <v>6</v>
      </c>
      <c r="N19" s="9">
        <v>7</v>
      </c>
      <c r="O19" s="9">
        <v>8</v>
      </c>
      <c r="P19" s="9">
        <v>9</v>
      </c>
      <c r="Q19" s="9">
        <v>10</v>
      </c>
      <c r="R19" s="9">
        <v>11</v>
      </c>
      <c r="S19" s="9">
        <v>12</v>
      </c>
      <c r="T19" s="9">
        <v>13</v>
      </c>
      <c r="U19" s="9">
        <v>14</v>
      </c>
      <c r="V19" s="9">
        <v>15</v>
      </c>
      <c r="W19" s="10">
        <v>16</v>
      </c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</row>
    <row r="20" spans="1:54" x14ac:dyDescent="0.25">
      <c r="A20" s="1"/>
      <c r="B20" s="11" t="s">
        <v>8</v>
      </c>
      <c r="C20" s="1" t="s">
        <v>9</v>
      </c>
      <c r="D20" s="23">
        <v>2</v>
      </c>
      <c r="E20" s="1"/>
      <c r="F20" s="11" t="s">
        <v>22</v>
      </c>
      <c r="G20" s="1"/>
      <c r="H20" s="1" cm="1">
        <f t="array" ref="H20">IF(TYPE($D$9)=1, $D$9*H19, Cont)</f>
        <v>0.5</v>
      </c>
      <c r="I20" s="1" cm="1">
        <f t="array" ref="I20">IF(TYPE($D$9)=1, $D$9*I19, Cont)</f>
        <v>1</v>
      </c>
      <c r="J20" s="1" cm="1">
        <f t="array" ref="J20">IF(TYPE($D$9)=1, $D$9*J19, Cont)</f>
        <v>1.5</v>
      </c>
      <c r="K20" s="1" cm="1">
        <f t="array" ref="K20">IF(TYPE($D$9)=1, $D$9*K19, Cont)</f>
        <v>2</v>
      </c>
      <c r="L20" s="1" cm="1">
        <f t="array" ref="L20">IF(TYPE($D$9)=1, $D$9*L19, Cont)</f>
        <v>2.5</v>
      </c>
      <c r="M20" s="1" cm="1">
        <f t="array" ref="M20">IF(TYPE($D$9)=1, $D$9*M19, Cont)</f>
        <v>3</v>
      </c>
      <c r="N20" s="1" cm="1">
        <f t="array" ref="N20">IF(TYPE($D$9)=1, $D$9*N19, Cont)</f>
        <v>3.5</v>
      </c>
      <c r="O20" s="1" cm="1">
        <f t="array" ref="O20">IF(TYPE($D$9)=1, $D$9*O19, Cont)</f>
        <v>4</v>
      </c>
      <c r="P20" s="1" cm="1">
        <f t="array" ref="P20">IF(TYPE($D$9)=1, $D$9*P19, Cont)</f>
        <v>4.5</v>
      </c>
      <c r="Q20" s="1" cm="1">
        <f t="array" ref="Q20">IF(TYPE($D$9)=1, $D$9*Q19, Cont)</f>
        <v>5</v>
      </c>
      <c r="R20" s="1" cm="1">
        <f t="array" ref="R20">IF(TYPE($D$9)=1, $D$9*R19, Cont)</f>
        <v>5.5</v>
      </c>
      <c r="S20" s="1" cm="1">
        <f t="array" ref="S20">IF(TYPE($D$9)=1, $D$9*S19, Cont)</f>
        <v>6</v>
      </c>
      <c r="T20" s="1" cm="1">
        <f t="array" ref="T20">IF(TYPE($D$9)=1, $D$9*T19, Cont)</f>
        <v>6.5</v>
      </c>
      <c r="U20" s="1" cm="1">
        <f t="array" ref="U20">IF(TYPE($D$9)=1, $D$9*U19, Cont)</f>
        <v>7</v>
      </c>
      <c r="V20" s="1" cm="1">
        <f t="array" ref="V20">IF(TYPE($D$9)=1, $D$9*V19, Cont)</f>
        <v>7.5</v>
      </c>
      <c r="W20" s="12" cm="1">
        <f t="array" ref="W20">IF(TYPE($D$9)=1, $D$9*W19, Cont)</f>
        <v>8</v>
      </c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</row>
    <row r="21" spans="1:54" ht="15.75" thickBot="1" x14ac:dyDescent="0.3">
      <c r="A21" s="1"/>
      <c r="B21" s="11" t="s">
        <v>20</v>
      </c>
      <c r="C21" s="15" t="s">
        <v>11</v>
      </c>
      <c r="D21" s="6">
        <f>1/D20</f>
        <v>0.5</v>
      </c>
      <c r="E21" s="1"/>
      <c r="F21" s="13" t="s">
        <v>107</v>
      </c>
      <c r="G21" s="14"/>
      <c r="H21" s="130">
        <v>0</v>
      </c>
      <c r="I21" s="93">
        <v>3.95E-2</v>
      </c>
      <c r="J21" s="93">
        <v>4.1200000000000001E-2</v>
      </c>
      <c r="K21" s="93"/>
      <c r="L21" s="93"/>
      <c r="M21" s="93"/>
      <c r="N21" s="93"/>
      <c r="O21" s="93"/>
      <c r="P21" s="93"/>
      <c r="Q21" s="93"/>
      <c r="R21" s="93"/>
      <c r="S21" s="93"/>
      <c r="T21" s="93"/>
      <c r="U21" s="93"/>
      <c r="V21" s="93"/>
      <c r="W21" s="94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</row>
    <row r="22" spans="1:54" x14ac:dyDescent="0.25">
      <c r="A22" s="1"/>
      <c r="B22" s="11" t="s">
        <v>192</v>
      </c>
      <c r="C22" s="1"/>
      <c r="D22" s="129">
        <v>3.8899999999999997E-2</v>
      </c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</row>
    <row r="23" spans="1:54" ht="15.75" thickBot="1" x14ac:dyDescent="0.3">
      <c r="A23" s="1"/>
      <c r="B23" s="13" t="s">
        <v>142</v>
      </c>
      <c r="C23" s="14"/>
      <c r="D23" s="25">
        <v>3</v>
      </c>
      <c r="E23" s="1"/>
      <c r="F23" s="1" t="s">
        <v>143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</row>
    <row r="24" spans="1:54" ht="15.75" thickBot="1" x14ac:dyDescent="0.3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</row>
    <row r="25" spans="1:54" ht="15.75" thickBot="1" x14ac:dyDescent="0.3">
      <c r="A25" s="1"/>
      <c r="B25" s="1"/>
      <c r="C25" s="1"/>
      <c r="D25" s="1"/>
      <c r="E25" s="1"/>
      <c r="F25" s="43" t="s">
        <v>144</v>
      </c>
      <c r="G25" s="131">
        <v>0.98092108489871987</v>
      </c>
      <c r="H25" s="1"/>
      <c r="I25" s="1"/>
      <c r="J25" s="8" t="s">
        <v>145</v>
      </c>
      <c r="K25" s="90">
        <v>0.98092108489871987</v>
      </c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</row>
    <row r="26" spans="1:54" x14ac:dyDescent="0.25">
      <c r="A26" s="1"/>
      <c r="B26" s="1"/>
      <c r="C26" s="1"/>
      <c r="D26" s="1"/>
      <c r="E26" s="1"/>
      <c r="F26" s="1"/>
      <c r="G26" s="1"/>
      <c r="H26" s="1"/>
      <c r="I26" s="1"/>
      <c r="J26" s="11" t="s">
        <v>146</v>
      </c>
      <c r="K26" s="91">
        <v>0.96163452667148841</v>
      </c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</row>
    <row r="27" spans="1:54" x14ac:dyDescent="0.25">
      <c r="A27" s="1"/>
      <c r="B27" s="1"/>
      <c r="C27" s="1"/>
      <c r="D27" s="1"/>
      <c r="E27" s="1"/>
      <c r="F27" s="1"/>
      <c r="G27" s="1"/>
      <c r="H27" s="1"/>
      <c r="I27" s="1"/>
      <c r="J27" s="11" t="s">
        <v>147</v>
      </c>
      <c r="K27" s="91">
        <v>0.94060685322521431</v>
      </c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</row>
    <row r="28" spans="1:54" x14ac:dyDescent="0.25">
      <c r="A28" s="1"/>
      <c r="B28" s="1"/>
      <c r="C28" s="1"/>
      <c r="D28" s="1"/>
      <c r="E28" s="1"/>
      <c r="F28" s="1"/>
      <c r="G28" s="1"/>
      <c r="H28" s="1"/>
      <c r="I28" s="1"/>
      <c r="J28" s="11"/>
      <c r="K28" s="9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</row>
    <row r="29" spans="1:54" x14ac:dyDescent="0.25">
      <c r="A29" s="1"/>
      <c r="B29" s="1"/>
      <c r="C29" s="1"/>
      <c r="D29" s="1"/>
      <c r="E29" s="1"/>
      <c r="F29" s="1"/>
      <c r="G29" s="1"/>
      <c r="H29" s="1"/>
      <c r="I29" s="1"/>
      <c r="J29" s="11"/>
      <c r="K29" s="9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</row>
    <row r="30" spans="1:54" x14ac:dyDescent="0.25">
      <c r="A30" s="1"/>
      <c r="B30" s="1"/>
      <c r="C30" s="1"/>
      <c r="D30" s="1"/>
      <c r="E30" s="1"/>
      <c r="F30" s="1"/>
      <c r="G30" s="1"/>
      <c r="H30" s="1"/>
      <c r="I30" s="1"/>
      <c r="J30" s="11"/>
      <c r="K30" s="9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</row>
    <row r="31" spans="1:54" x14ac:dyDescent="0.25">
      <c r="A31" s="1"/>
      <c r="B31" s="1"/>
      <c r="C31" s="1"/>
      <c r="D31" s="1"/>
      <c r="E31" s="1"/>
      <c r="F31" s="1"/>
      <c r="G31" s="1"/>
      <c r="H31" s="1"/>
      <c r="I31" s="1"/>
      <c r="J31" s="11"/>
      <c r="K31" s="9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</row>
    <row r="32" spans="1:54" ht="15.75" thickBot="1" x14ac:dyDescent="0.3">
      <c r="A32" s="1"/>
      <c r="B32" s="1"/>
      <c r="C32" s="1"/>
      <c r="D32" s="1"/>
      <c r="E32" s="1"/>
      <c r="F32" s="1"/>
      <c r="G32" s="1"/>
      <c r="H32" s="1"/>
      <c r="I32" s="1"/>
      <c r="J32" s="13"/>
      <c r="K32" s="92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</row>
    <row r="33" spans="1:54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</row>
    <row r="34" spans="1:54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</row>
    <row r="35" spans="1:54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</row>
    <row r="36" spans="1:54" ht="18" thickBot="1" x14ac:dyDescent="0.35">
      <c r="A36" s="1"/>
      <c r="B36" s="147" t="s">
        <v>201</v>
      </c>
      <c r="C36" s="147"/>
      <c r="D36" s="147"/>
      <c r="E36" s="147"/>
      <c r="F36" s="147"/>
      <c r="G36" s="147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</row>
    <row r="37" spans="1:54" ht="15.75" thickTop="1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</row>
    <row r="38" spans="1:54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</row>
    <row r="39" spans="1:54" ht="15.75" thickBot="1" x14ac:dyDescent="0.3">
      <c r="A39" s="1"/>
      <c r="B39" s="1" t="s">
        <v>3</v>
      </c>
      <c r="C39" s="1"/>
      <c r="D39" s="1"/>
      <c r="E39" s="1"/>
      <c r="F39" s="1" t="s">
        <v>15</v>
      </c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</row>
    <row r="40" spans="1:54" x14ac:dyDescent="0.25">
      <c r="A40" s="1"/>
      <c r="B40" s="8" t="s">
        <v>19</v>
      </c>
      <c r="C40" s="9" t="s">
        <v>5</v>
      </c>
      <c r="D40" s="21">
        <v>1000000</v>
      </c>
      <c r="E40" s="1"/>
      <c r="F40" s="8" t="s">
        <v>21</v>
      </c>
      <c r="G40" s="9">
        <v>0</v>
      </c>
      <c r="H40" s="9">
        <v>1</v>
      </c>
      <c r="I40" s="9">
        <v>2</v>
      </c>
      <c r="J40" s="9">
        <v>3</v>
      </c>
      <c r="K40" s="9">
        <v>4</v>
      </c>
      <c r="L40" s="9">
        <v>5</v>
      </c>
      <c r="M40" s="9">
        <v>6</v>
      </c>
      <c r="N40" s="9">
        <v>7</v>
      </c>
      <c r="O40" s="9">
        <v>8</v>
      </c>
      <c r="P40" s="9">
        <v>9</v>
      </c>
      <c r="Q40" s="9">
        <v>10</v>
      </c>
      <c r="R40" s="9">
        <v>11</v>
      </c>
      <c r="S40" s="9">
        <v>12</v>
      </c>
      <c r="T40" s="9">
        <v>13</v>
      </c>
      <c r="U40" s="9">
        <v>14</v>
      </c>
      <c r="V40" s="9">
        <v>15</v>
      </c>
      <c r="W40" s="10">
        <v>16</v>
      </c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</row>
    <row r="41" spans="1:54" x14ac:dyDescent="0.25">
      <c r="A41" s="1"/>
      <c r="B41" s="11" t="s">
        <v>8</v>
      </c>
      <c r="C41" s="1" t="s">
        <v>9</v>
      </c>
      <c r="D41" s="23">
        <v>2</v>
      </c>
      <c r="E41" s="1"/>
      <c r="F41" s="11" t="s">
        <v>22</v>
      </c>
      <c r="G41" s="1"/>
      <c r="H41" s="1" cm="1">
        <f t="array" ref="H41">IF(TYPE($D$9)=1, $D$9*H40, Cont)</f>
        <v>0.5</v>
      </c>
      <c r="I41" s="1" cm="1">
        <f t="array" ref="I41">IF(TYPE($D$9)=1, $D$9*I40, Cont)</f>
        <v>1</v>
      </c>
      <c r="J41" s="1" cm="1">
        <f t="array" ref="J41">IF(TYPE($D$9)=1, $D$9*J40, Cont)</f>
        <v>1.5</v>
      </c>
      <c r="K41" s="1" cm="1">
        <f t="array" ref="K41">IF(TYPE($D$9)=1, $D$9*K40, Cont)</f>
        <v>2</v>
      </c>
      <c r="L41" s="1" cm="1">
        <f t="array" ref="L41">IF(TYPE($D$9)=1, $D$9*L40, Cont)</f>
        <v>2.5</v>
      </c>
      <c r="M41" s="1" cm="1">
        <f t="array" ref="M41">IF(TYPE($D$9)=1, $D$9*M40, Cont)</f>
        <v>3</v>
      </c>
      <c r="N41" s="1" cm="1">
        <f t="array" ref="N41">IF(TYPE($D$9)=1, $D$9*N40, Cont)</f>
        <v>3.5</v>
      </c>
      <c r="O41" s="1" cm="1">
        <f t="array" ref="O41">IF(TYPE($D$9)=1, $D$9*O40, Cont)</f>
        <v>4</v>
      </c>
      <c r="P41" s="1" cm="1">
        <f t="array" ref="P41">IF(TYPE($D$9)=1, $D$9*P40, Cont)</f>
        <v>4.5</v>
      </c>
      <c r="Q41" s="1" cm="1">
        <f t="array" ref="Q41">IF(TYPE($D$9)=1, $D$9*Q40, Cont)</f>
        <v>5</v>
      </c>
      <c r="R41" s="1" cm="1">
        <f t="array" ref="R41">IF(TYPE($D$9)=1, $D$9*R40, Cont)</f>
        <v>5.5</v>
      </c>
      <c r="S41" s="1" cm="1">
        <f t="array" ref="S41">IF(TYPE($D$9)=1, $D$9*S40, Cont)</f>
        <v>6</v>
      </c>
      <c r="T41" s="1" cm="1">
        <f t="array" ref="T41">IF(TYPE($D$9)=1, $D$9*T40, Cont)</f>
        <v>6.5</v>
      </c>
      <c r="U41" s="1" cm="1">
        <f t="array" ref="U41">IF(TYPE($D$9)=1, $D$9*U40, Cont)</f>
        <v>7</v>
      </c>
      <c r="V41" s="1" cm="1">
        <f t="array" ref="V41">IF(TYPE($D$9)=1, $D$9*V40, Cont)</f>
        <v>7.5</v>
      </c>
      <c r="W41" s="12" cm="1">
        <f t="array" ref="W41">IF(TYPE($D$9)=1, $D$9*W40, Cont)</f>
        <v>8</v>
      </c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</row>
    <row r="42" spans="1:54" ht="15.75" thickBot="1" x14ac:dyDescent="0.3">
      <c r="A42" s="1"/>
      <c r="B42" s="11" t="s">
        <v>20</v>
      </c>
      <c r="C42" s="15" t="s">
        <v>11</v>
      </c>
      <c r="D42" s="6">
        <f>1/D41</f>
        <v>0.5</v>
      </c>
      <c r="E42" s="1"/>
      <c r="F42" s="13" t="s">
        <v>91</v>
      </c>
      <c r="G42" s="72">
        <v>1</v>
      </c>
      <c r="H42" s="70">
        <v>0.97870000000000001</v>
      </c>
      <c r="I42" s="70">
        <v>0.95709999999999995</v>
      </c>
      <c r="J42" s="70">
        <v>0.93610000000000004</v>
      </c>
      <c r="K42" s="70"/>
      <c r="L42" s="70"/>
      <c r="M42" s="70"/>
      <c r="N42" s="70"/>
      <c r="O42" s="70"/>
      <c r="P42" s="70"/>
      <c r="Q42" s="70"/>
      <c r="R42" s="70"/>
      <c r="S42" s="70"/>
      <c r="T42" s="70"/>
      <c r="U42" s="70"/>
      <c r="V42" s="70"/>
      <c r="W42" s="7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</row>
    <row r="43" spans="1:54" ht="15.75" thickBot="1" x14ac:dyDescent="0.3">
      <c r="A43" s="1"/>
      <c r="B43" s="13" t="s">
        <v>61</v>
      </c>
      <c r="C43" s="14"/>
      <c r="D43" s="25">
        <v>3</v>
      </c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</row>
    <row r="44" spans="1:54" ht="15.75" thickBot="1" x14ac:dyDescent="0.3">
      <c r="A44" s="1"/>
      <c r="B44" s="1"/>
      <c r="C44" s="1"/>
      <c r="D44" s="1"/>
      <c r="E44" s="1"/>
      <c r="F44" s="1" t="s">
        <v>99</v>
      </c>
      <c r="G44" s="1"/>
      <c r="H44" s="18">
        <v>27</v>
      </c>
      <c r="I44" s="1" t="s">
        <v>14</v>
      </c>
      <c r="J44" s="143" t="s">
        <v>158</v>
      </c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</row>
    <row r="45" spans="1:54" ht="15.75" thickBot="1" x14ac:dyDescent="0.3">
      <c r="A45" s="1"/>
      <c r="B45" s="8" t="s">
        <v>103</v>
      </c>
      <c r="C45" s="9"/>
      <c r="D45" s="21">
        <v>0.5</v>
      </c>
      <c r="E45" s="1"/>
      <c r="F45" s="1" t="s">
        <v>104</v>
      </c>
      <c r="G45" s="1"/>
      <c r="H45" s="154" t="s">
        <v>100</v>
      </c>
      <c r="I45" s="154"/>
      <c r="J45" s="154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</row>
    <row r="46" spans="1:54" ht="15.75" thickBot="1" x14ac:dyDescent="0.3">
      <c r="A46" s="1"/>
      <c r="B46" s="11" t="s">
        <v>93</v>
      </c>
      <c r="C46" s="1"/>
      <c r="D46" s="24">
        <v>0.5</v>
      </c>
      <c r="E46" s="1"/>
      <c r="F46" s="43" t="s">
        <v>64</v>
      </c>
      <c r="G46" s="121">
        <v>1</v>
      </c>
      <c r="H46" s="121">
        <f>IF(H42&gt;0, ($H$44/360/$D$42)*G42+(($D$42-($H$44/360))/$D$42)*H42, 0)</f>
        <v>0.98189499999999996</v>
      </c>
      <c r="I46" s="121">
        <f t="shared" ref="I46:W46" si="0">IF(I42&gt;0, ($H$44/360/$D$42)*H42+(($D$42-($H$44/360))/$D$42)*I42, 0)</f>
        <v>0.96033999999999986</v>
      </c>
      <c r="J46" s="121">
        <f t="shared" si="0"/>
        <v>0.93924999999999992</v>
      </c>
      <c r="K46" s="121">
        <f t="shared" si="0"/>
        <v>0</v>
      </c>
      <c r="L46" s="121">
        <f t="shared" si="0"/>
        <v>0</v>
      </c>
      <c r="M46" s="121">
        <f t="shared" si="0"/>
        <v>0</v>
      </c>
      <c r="N46" s="121">
        <f t="shared" si="0"/>
        <v>0</v>
      </c>
      <c r="O46" s="121">
        <f t="shared" si="0"/>
        <v>0</v>
      </c>
      <c r="P46" s="121">
        <f t="shared" si="0"/>
        <v>0</v>
      </c>
      <c r="Q46" s="121">
        <f t="shared" si="0"/>
        <v>0</v>
      </c>
      <c r="R46" s="121">
        <f t="shared" si="0"/>
        <v>0</v>
      </c>
      <c r="S46" s="121">
        <f t="shared" si="0"/>
        <v>0</v>
      </c>
      <c r="T46" s="121">
        <f t="shared" si="0"/>
        <v>0</v>
      </c>
      <c r="U46" s="121">
        <f t="shared" si="0"/>
        <v>0</v>
      </c>
      <c r="V46" s="121">
        <f t="shared" si="0"/>
        <v>0</v>
      </c>
      <c r="W46" s="121">
        <f t="shared" si="0"/>
        <v>0</v>
      </c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</row>
    <row r="47" spans="1:54" ht="15.75" thickBot="1" x14ac:dyDescent="0.3">
      <c r="A47" s="1"/>
      <c r="B47" s="13" t="s">
        <v>94</v>
      </c>
      <c r="C47" s="14"/>
      <c r="D47" s="25">
        <v>1</v>
      </c>
      <c r="E47" s="1"/>
      <c r="F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</row>
    <row r="48" spans="1:54" ht="15.75" thickBot="1" x14ac:dyDescent="0.3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</row>
    <row r="49" spans="1:54" x14ac:dyDescent="0.25">
      <c r="A49" s="1"/>
      <c r="B49" s="1"/>
      <c r="C49" s="1"/>
      <c r="D49" s="1"/>
      <c r="E49" s="1"/>
      <c r="F49" s="89" t="s">
        <v>92</v>
      </c>
      <c r="G49" s="9" t="s">
        <v>93</v>
      </c>
      <c r="H49" s="78">
        <v>1</v>
      </c>
      <c r="I49" s="78" cm="1">
        <f t="array" ref="I49:X49">H42:W42</f>
        <v>0.97870000000000001</v>
      </c>
      <c r="J49" s="78">
        <v>0.95709999999999995</v>
      </c>
      <c r="K49" s="78">
        <v>0.93610000000000004</v>
      </c>
      <c r="L49" s="78">
        <v>0</v>
      </c>
      <c r="M49" s="78">
        <v>0</v>
      </c>
      <c r="N49" s="78">
        <v>0</v>
      </c>
      <c r="O49" s="78">
        <v>0</v>
      </c>
      <c r="P49" s="78">
        <v>0</v>
      </c>
      <c r="Q49" s="78">
        <v>0</v>
      </c>
      <c r="R49" s="78">
        <v>0</v>
      </c>
      <c r="S49" s="78">
        <v>0</v>
      </c>
      <c r="T49" s="78">
        <v>0</v>
      </c>
      <c r="U49" s="78">
        <v>0</v>
      </c>
      <c r="V49" s="78">
        <v>0</v>
      </c>
      <c r="W49" s="78">
        <v>0</v>
      </c>
      <c r="X49" s="79">
        <v>0</v>
      </c>
      <c r="Y49" s="1"/>
      <c r="Z49" s="89" t="s">
        <v>101</v>
      </c>
      <c r="AA49" s="9" t="s">
        <v>93</v>
      </c>
      <c r="AB49" s="78">
        <v>1</v>
      </c>
      <c r="AC49" s="78">
        <f>H46</f>
        <v>0.98189499999999996</v>
      </c>
      <c r="AD49" s="78">
        <f t="shared" ref="AD49:AR49" si="1">I46</f>
        <v>0.96033999999999986</v>
      </c>
      <c r="AE49" s="78">
        <f t="shared" si="1"/>
        <v>0.93924999999999992</v>
      </c>
      <c r="AF49" s="78">
        <f t="shared" si="1"/>
        <v>0</v>
      </c>
      <c r="AG49" s="78">
        <f t="shared" si="1"/>
        <v>0</v>
      </c>
      <c r="AH49" s="78">
        <f t="shared" si="1"/>
        <v>0</v>
      </c>
      <c r="AI49" s="78">
        <f t="shared" si="1"/>
        <v>0</v>
      </c>
      <c r="AJ49" s="78">
        <f t="shared" si="1"/>
        <v>0</v>
      </c>
      <c r="AK49" s="78">
        <f t="shared" si="1"/>
        <v>0</v>
      </c>
      <c r="AL49" s="78">
        <f t="shared" si="1"/>
        <v>0</v>
      </c>
      <c r="AM49" s="78">
        <f t="shared" si="1"/>
        <v>0</v>
      </c>
      <c r="AN49" s="78">
        <f t="shared" si="1"/>
        <v>0</v>
      </c>
      <c r="AO49" s="78">
        <f t="shared" si="1"/>
        <v>0</v>
      </c>
      <c r="AP49" s="78">
        <f t="shared" si="1"/>
        <v>0</v>
      </c>
      <c r="AQ49" s="78">
        <f t="shared" si="1"/>
        <v>0</v>
      </c>
      <c r="AR49" s="79">
        <f t="shared" si="1"/>
        <v>0</v>
      </c>
      <c r="AS49" s="1"/>
      <c r="AT49" s="1"/>
      <c r="AU49" s="1"/>
      <c r="AV49" s="1"/>
      <c r="AW49" s="1"/>
      <c r="AX49" s="1"/>
      <c r="AY49" s="1"/>
      <c r="AZ49" s="1"/>
      <c r="BA49" s="1"/>
      <c r="BB49" s="1"/>
    </row>
    <row r="50" spans="1:54" x14ac:dyDescent="0.25">
      <c r="A50" s="1"/>
      <c r="B50" s="1"/>
      <c r="C50" s="1"/>
      <c r="D50" s="1"/>
      <c r="E50" s="1"/>
      <c r="F50" s="5" t="s">
        <v>94</v>
      </c>
      <c r="G50" s="155">
        <v>1</v>
      </c>
      <c r="H50" s="156">
        <f t="shared" ref="H50:X50" si="2">G41</f>
        <v>0</v>
      </c>
      <c r="I50" s="156">
        <f t="shared" si="2"/>
        <v>0.5</v>
      </c>
      <c r="J50" s="156">
        <f t="shared" si="2"/>
        <v>1</v>
      </c>
      <c r="K50" s="156">
        <f t="shared" si="2"/>
        <v>1.5</v>
      </c>
      <c r="L50" s="156">
        <f t="shared" si="2"/>
        <v>2</v>
      </c>
      <c r="M50" s="156">
        <f t="shared" si="2"/>
        <v>2.5</v>
      </c>
      <c r="N50" s="156">
        <f t="shared" si="2"/>
        <v>3</v>
      </c>
      <c r="O50" s="156">
        <f t="shared" si="2"/>
        <v>3.5</v>
      </c>
      <c r="P50" s="156">
        <f t="shared" si="2"/>
        <v>4</v>
      </c>
      <c r="Q50" s="156">
        <f t="shared" si="2"/>
        <v>4.5</v>
      </c>
      <c r="R50" s="156">
        <f t="shared" si="2"/>
        <v>5</v>
      </c>
      <c r="S50" s="156">
        <f t="shared" si="2"/>
        <v>5.5</v>
      </c>
      <c r="T50" s="156">
        <f t="shared" si="2"/>
        <v>6</v>
      </c>
      <c r="U50" s="156">
        <f t="shared" si="2"/>
        <v>6.5</v>
      </c>
      <c r="V50" s="156">
        <f t="shared" si="2"/>
        <v>7</v>
      </c>
      <c r="W50" s="156">
        <f t="shared" si="2"/>
        <v>7.5</v>
      </c>
      <c r="X50" s="54">
        <f t="shared" si="2"/>
        <v>8</v>
      </c>
      <c r="Y50" s="1"/>
      <c r="Z50" s="5" t="s">
        <v>94</v>
      </c>
      <c r="AA50" s="155">
        <v>1</v>
      </c>
      <c r="AB50" s="156">
        <f>AA41</f>
        <v>0</v>
      </c>
      <c r="AC50" s="156">
        <f>H41</f>
        <v>0.5</v>
      </c>
      <c r="AD50" s="156">
        <f t="shared" ref="AD50:AR50" si="3">I41</f>
        <v>1</v>
      </c>
      <c r="AE50" s="156">
        <f t="shared" si="3"/>
        <v>1.5</v>
      </c>
      <c r="AF50" s="156">
        <f t="shared" si="3"/>
        <v>2</v>
      </c>
      <c r="AG50" s="156">
        <f t="shared" si="3"/>
        <v>2.5</v>
      </c>
      <c r="AH50" s="156">
        <f t="shared" si="3"/>
        <v>3</v>
      </c>
      <c r="AI50" s="156">
        <f t="shared" si="3"/>
        <v>3.5</v>
      </c>
      <c r="AJ50" s="156">
        <f t="shared" si="3"/>
        <v>4</v>
      </c>
      <c r="AK50" s="156">
        <f t="shared" si="3"/>
        <v>4.5</v>
      </c>
      <c r="AL50" s="156">
        <f t="shared" si="3"/>
        <v>5</v>
      </c>
      <c r="AM50" s="156">
        <f t="shared" si="3"/>
        <v>5.5</v>
      </c>
      <c r="AN50" s="156">
        <f t="shared" si="3"/>
        <v>6</v>
      </c>
      <c r="AO50" s="156">
        <f t="shared" si="3"/>
        <v>6.5</v>
      </c>
      <c r="AP50" s="156">
        <f t="shared" si="3"/>
        <v>7</v>
      </c>
      <c r="AQ50" s="156">
        <f t="shared" si="3"/>
        <v>7.5</v>
      </c>
      <c r="AR50" s="54">
        <f t="shared" si="3"/>
        <v>8</v>
      </c>
      <c r="AS50" s="1"/>
      <c r="AT50" s="1"/>
      <c r="AU50" s="1"/>
      <c r="AV50" s="1"/>
      <c r="AW50" s="1"/>
      <c r="AX50" s="1"/>
      <c r="AY50" s="1"/>
      <c r="AZ50" s="1"/>
      <c r="BA50" s="1"/>
      <c r="BB50" s="1"/>
    </row>
    <row r="51" spans="1:54" x14ac:dyDescent="0.25">
      <c r="A51" s="1"/>
      <c r="B51" s="1"/>
      <c r="C51" s="1"/>
      <c r="D51" s="1"/>
      <c r="E51" s="1"/>
      <c r="F51" s="11"/>
      <c r="G51" s="155">
        <f t="array" ref="G51:G66">TRANSPOSE(H42:W42)</f>
        <v>0.97870000000000001</v>
      </c>
      <c r="H51" s="156">
        <f t="array" ref="H51:H66">TRANSPOSE(H41:W41)</f>
        <v>0.5</v>
      </c>
      <c r="I51" s="83"/>
      <c r="J51" s="87"/>
      <c r="K51" s="87"/>
      <c r="L51" s="87"/>
      <c r="M51" s="87"/>
      <c r="N51" s="87"/>
      <c r="O51" s="87"/>
      <c r="P51" s="87"/>
      <c r="Q51" s="87"/>
      <c r="R51" s="87"/>
      <c r="S51" s="87"/>
      <c r="T51" s="87"/>
      <c r="U51" s="87"/>
      <c r="V51" s="87"/>
      <c r="W51" s="87"/>
      <c r="X51" s="88"/>
      <c r="Y51" s="1"/>
      <c r="Z51" s="11"/>
      <c r="AA51" s="155">
        <f t="array" ref="AA51:AA66">TRANSPOSE(H46:W46)</f>
        <v>0.98189499999999996</v>
      </c>
      <c r="AB51" s="156">
        <f t="array" ref="AB51:AB66">TRANSPOSE(H41:W41)</f>
        <v>0.5</v>
      </c>
      <c r="AC51" s="83"/>
      <c r="AD51" s="87"/>
      <c r="AE51" s="87"/>
      <c r="AF51" s="87"/>
      <c r="AG51" s="87"/>
      <c r="AH51" s="87"/>
      <c r="AI51" s="87"/>
      <c r="AJ51" s="87"/>
      <c r="AK51" s="87"/>
      <c r="AL51" s="87"/>
      <c r="AM51" s="87"/>
      <c r="AN51" s="87"/>
      <c r="AO51" s="87"/>
      <c r="AP51" s="87"/>
      <c r="AQ51" s="87"/>
      <c r="AR51" s="88"/>
      <c r="AS51" s="1"/>
      <c r="AT51" s="1"/>
      <c r="AU51" s="1"/>
      <c r="AV51" s="1"/>
      <c r="AW51" s="1"/>
      <c r="AX51" s="1"/>
      <c r="AY51" s="1"/>
      <c r="AZ51" s="1"/>
      <c r="BA51" s="1"/>
      <c r="BB51" s="1"/>
    </row>
    <row r="52" spans="1:54" x14ac:dyDescent="0.25">
      <c r="A52" s="1"/>
      <c r="B52" s="1"/>
      <c r="C52" s="1"/>
      <c r="D52" s="1"/>
      <c r="E52" s="1"/>
      <c r="F52" s="5"/>
      <c r="G52" s="155">
        <v>0.95709999999999995</v>
      </c>
      <c r="H52" s="156">
        <v>1</v>
      </c>
      <c r="I52" s="81">
        <f>IF(G52&gt;0, G52/$I$49, 0)</f>
        <v>0.97792990701951565</v>
      </c>
      <c r="J52" s="157"/>
      <c r="K52" s="157"/>
      <c r="L52" s="157"/>
      <c r="M52" s="157"/>
      <c r="N52" s="157"/>
      <c r="O52" s="157"/>
      <c r="P52" s="157"/>
      <c r="Q52" s="157"/>
      <c r="R52" s="157"/>
      <c r="S52" s="157"/>
      <c r="T52" s="157"/>
      <c r="U52" s="157"/>
      <c r="V52" s="157"/>
      <c r="W52" s="157"/>
      <c r="X52" s="85"/>
      <c r="Y52" s="1"/>
      <c r="Z52" s="5"/>
      <c r="AA52" s="155">
        <v>0.96033999999999986</v>
      </c>
      <c r="AB52" s="156">
        <v>1</v>
      </c>
      <c r="AC52" s="81">
        <f>IF($AA52&gt;0, $AA52/AC$49, 0)</f>
        <v>0.97804755090921114</v>
      </c>
      <c r="AD52" s="157"/>
      <c r="AE52" s="157"/>
      <c r="AF52" s="157"/>
      <c r="AG52" s="157"/>
      <c r="AH52" s="157"/>
      <c r="AI52" s="157"/>
      <c r="AJ52" s="157"/>
      <c r="AK52" s="157"/>
      <c r="AL52" s="157"/>
      <c r="AM52" s="157"/>
      <c r="AN52" s="157"/>
      <c r="AO52" s="157"/>
      <c r="AP52" s="157"/>
      <c r="AQ52" s="157"/>
      <c r="AR52" s="85"/>
      <c r="AS52" s="1"/>
      <c r="AT52" s="1"/>
      <c r="AU52" s="1"/>
      <c r="AV52" s="1"/>
      <c r="AW52" s="1"/>
      <c r="AX52" s="1"/>
      <c r="AY52" s="1"/>
      <c r="AZ52" s="1"/>
      <c r="BA52" s="1"/>
      <c r="BB52" s="1"/>
    </row>
    <row r="53" spans="1:54" x14ac:dyDescent="0.25">
      <c r="A53" s="1"/>
      <c r="B53" s="1"/>
      <c r="C53" s="1"/>
      <c r="D53" s="1"/>
      <c r="E53" s="1"/>
      <c r="F53" s="11"/>
      <c r="G53" s="155">
        <v>0.93610000000000004</v>
      </c>
      <c r="H53" s="156">
        <v>1.5</v>
      </c>
      <c r="I53" s="81">
        <f t="shared" ref="I53:I66" si="4">IF(G53&gt;0, G53/$I$49, 0)</f>
        <v>0.9564728721773782</v>
      </c>
      <c r="J53" s="158">
        <f>IF(G53&gt;0, G53/$J$49, 0)</f>
        <v>0.97805871904712161</v>
      </c>
      <c r="K53" s="157"/>
      <c r="L53" s="157"/>
      <c r="M53" s="157"/>
      <c r="N53" s="157"/>
      <c r="O53" s="157"/>
      <c r="P53" s="157"/>
      <c r="Q53" s="157"/>
      <c r="R53" s="157"/>
      <c r="S53" s="157"/>
      <c r="T53" s="157"/>
      <c r="U53" s="157"/>
      <c r="V53" s="157"/>
      <c r="W53" s="157"/>
      <c r="X53" s="85"/>
      <c r="Y53" s="1"/>
      <c r="Z53" s="11"/>
      <c r="AA53" s="155">
        <v>0.93924999999999992</v>
      </c>
      <c r="AB53" s="156">
        <v>1.5</v>
      </c>
      <c r="AC53" s="81">
        <f t="shared" ref="AC53:AQ66" si="5">IF($AA53&gt;0, $AA53/AC$49, 0)</f>
        <v>0.95656867587674843</v>
      </c>
      <c r="AD53" s="81">
        <f t="shared" ref="AC53:AD66" si="6">IF($AA53&gt;0, $AA53/AD$49, 0)</f>
        <v>0.97803902784430519</v>
      </c>
      <c r="AE53" s="157"/>
      <c r="AF53" s="157"/>
      <c r="AG53" s="157"/>
      <c r="AH53" s="157"/>
      <c r="AI53" s="157"/>
      <c r="AJ53" s="157"/>
      <c r="AK53" s="157"/>
      <c r="AL53" s="157"/>
      <c r="AM53" s="157"/>
      <c r="AN53" s="157"/>
      <c r="AO53" s="157"/>
      <c r="AP53" s="157"/>
      <c r="AQ53" s="157"/>
      <c r="AR53" s="85"/>
      <c r="AS53" s="1"/>
      <c r="AT53" s="1"/>
      <c r="AU53" s="1"/>
      <c r="AV53" s="1"/>
      <c r="AW53" s="1"/>
      <c r="AX53" s="1"/>
      <c r="AY53" s="1"/>
      <c r="AZ53" s="1"/>
      <c r="BA53" s="1"/>
      <c r="BB53" s="1"/>
    </row>
    <row r="54" spans="1:54" x14ac:dyDescent="0.25">
      <c r="A54" s="1"/>
      <c r="B54" s="1"/>
      <c r="C54" s="1"/>
      <c r="D54" s="1"/>
      <c r="E54" s="1"/>
      <c r="F54" s="11"/>
      <c r="G54" s="155">
        <v>0</v>
      </c>
      <c r="H54" s="156">
        <v>2</v>
      </c>
      <c r="I54" s="81">
        <f t="shared" si="4"/>
        <v>0</v>
      </c>
      <c r="J54" s="158">
        <f t="shared" ref="J54:J66" si="7">IF(G54&gt;0, G54/$J$49, 0)</f>
        <v>0</v>
      </c>
      <c r="K54" s="158">
        <f>IF(G54&gt;0, G54/$K$49, 0)</f>
        <v>0</v>
      </c>
      <c r="L54" s="157"/>
      <c r="M54" s="157"/>
      <c r="N54" s="157"/>
      <c r="O54" s="157"/>
      <c r="P54" s="157"/>
      <c r="Q54" s="157"/>
      <c r="R54" s="157"/>
      <c r="S54" s="157"/>
      <c r="T54" s="157"/>
      <c r="U54" s="157"/>
      <c r="V54" s="157"/>
      <c r="W54" s="157"/>
      <c r="X54" s="85"/>
      <c r="Y54" s="1"/>
      <c r="Z54" s="11"/>
      <c r="AA54" s="155">
        <v>0</v>
      </c>
      <c r="AB54" s="156">
        <v>2</v>
      </c>
      <c r="AC54" s="81">
        <f t="shared" si="5"/>
        <v>0</v>
      </c>
      <c r="AD54" s="81">
        <f t="shared" si="5"/>
        <v>0</v>
      </c>
      <c r="AE54" s="81">
        <f t="shared" si="5"/>
        <v>0</v>
      </c>
      <c r="AF54" s="157"/>
      <c r="AG54" s="157"/>
      <c r="AH54" s="157"/>
      <c r="AI54" s="157"/>
      <c r="AJ54" s="157"/>
      <c r="AK54" s="157"/>
      <c r="AL54" s="157"/>
      <c r="AM54" s="157"/>
      <c r="AN54" s="157"/>
      <c r="AO54" s="157"/>
      <c r="AP54" s="157"/>
      <c r="AQ54" s="157"/>
      <c r="AR54" s="85"/>
      <c r="AS54" s="1"/>
      <c r="AT54" s="1"/>
      <c r="AU54" s="1"/>
      <c r="AV54" s="1"/>
      <c r="AW54" s="1"/>
      <c r="AX54" s="1"/>
      <c r="AY54" s="1"/>
      <c r="AZ54" s="1"/>
      <c r="BA54" s="1"/>
      <c r="BB54" s="1"/>
    </row>
    <row r="55" spans="1:54" x14ac:dyDescent="0.25">
      <c r="A55" s="1"/>
      <c r="B55" s="1"/>
      <c r="C55" s="1"/>
      <c r="D55" s="1"/>
      <c r="E55" s="1"/>
      <c r="F55" s="11"/>
      <c r="G55" s="155">
        <v>0</v>
      </c>
      <c r="H55" s="156">
        <v>2.5</v>
      </c>
      <c r="I55" s="81">
        <f t="shared" si="4"/>
        <v>0</v>
      </c>
      <c r="J55" s="158">
        <f t="shared" si="7"/>
        <v>0</v>
      </c>
      <c r="K55" s="158">
        <f t="shared" ref="K55:K66" si="8">IF(G55&gt;0, G55/$K$49, 0)</f>
        <v>0</v>
      </c>
      <c r="L55" s="158">
        <f>IF(G55&gt;0, G55/$L$49, 0)</f>
        <v>0</v>
      </c>
      <c r="M55" s="157"/>
      <c r="N55" s="157"/>
      <c r="O55" s="157"/>
      <c r="P55" s="157"/>
      <c r="Q55" s="157"/>
      <c r="R55" s="157"/>
      <c r="S55" s="157"/>
      <c r="T55" s="157"/>
      <c r="U55" s="157"/>
      <c r="V55" s="157"/>
      <c r="W55" s="157"/>
      <c r="X55" s="85"/>
      <c r="Y55" s="1"/>
      <c r="Z55" s="11"/>
      <c r="AA55" s="155">
        <v>0</v>
      </c>
      <c r="AB55" s="156">
        <v>2.5</v>
      </c>
      <c r="AC55" s="81">
        <f t="shared" si="5"/>
        <v>0</v>
      </c>
      <c r="AD55" s="81">
        <f t="shared" si="5"/>
        <v>0</v>
      </c>
      <c r="AE55" s="81">
        <f t="shared" si="5"/>
        <v>0</v>
      </c>
      <c r="AF55" s="81">
        <f t="shared" si="5"/>
        <v>0</v>
      </c>
      <c r="AG55" s="157"/>
      <c r="AH55" s="157"/>
      <c r="AI55" s="157"/>
      <c r="AJ55" s="157"/>
      <c r="AK55" s="157"/>
      <c r="AL55" s="157"/>
      <c r="AM55" s="157"/>
      <c r="AN55" s="157"/>
      <c r="AO55" s="157"/>
      <c r="AP55" s="157"/>
      <c r="AQ55" s="157"/>
      <c r="AR55" s="85"/>
      <c r="AS55" s="1"/>
      <c r="AT55" s="1"/>
      <c r="AU55" s="1"/>
      <c r="AV55" s="1"/>
      <c r="AW55" s="1"/>
      <c r="AX55" s="1"/>
      <c r="AY55" s="1"/>
      <c r="AZ55" s="1"/>
      <c r="BA55" s="1"/>
      <c r="BB55" s="1"/>
    </row>
    <row r="56" spans="1:54" x14ac:dyDescent="0.25">
      <c r="A56" s="1"/>
      <c r="B56" s="1"/>
      <c r="C56" s="1"/>
      <c r="D56" s="1"/>
      <c r="E56" s="1"/>
      <c r="F56" s="11"/>
      <c r="G56" s="155">
        <v>0</v>
      </c>
      <c r="H56" s="156">
        <v>3</v>
      </c>
      <c r="I56" s="81">
        <f t="shared" si="4"/>
        <v>0</v>
      </c>
      <c r="J56" s="158">
        <f t="shared" si="7"/>
        <v>0</v>
      </c>
      <c r="K56" s="158">
        <f t="shared" si="8"/>
        <v>0</v>
      </c>
      <c r="L56" s="158">
        <f t="shared" ref="L56:L66" si="9">IF(G56&gt;0, G56/$L$49, 0)</f>
        <v>0</v>
      </c>
      <c r="M56" s="158">
        <f>IF(G56&gt;0, G56/$M$49, 0)</f>
        <v>0</v>
      </c>
      <c r="N56" s="157"/>
      <c r="O56" s="157"/>
      <c r="P56" s="157"/>
      <c r="Q56" s="157"/>
      <c r="R56" s="157"/>
      <c r="S56" s="157"/>
      <c r="T56" s="157"/>
      <c r="U56" s="157"/>
      <c r="V56" s="157"/>
      <c r="W56" s="157"/>
      <c r="X56" s="85"/>
      <c r="Y56" s="1"/>
      <c r="Z56" s="11"/>
      <c r="AA56" s="155">
        <v>0</v>
      </c>
      <c r="AB56" s="156">
        <v>3</v>
      </c>
      <c r="AC56" s="81">
        <f t="shared" si="5"/>
        <v>0</v>
      </c>
      <c r="AD56" s="81">
        <f t="shared" si="5"/>
        <v>0</v>
      </c>
      <c r="AE56" s="81">
        <f t="shared" si="5"/>
        <v>0</v>
      </c>
      <c r="AF56" s="81">
        <f t="shared" si="5"/>
        <v>0</v>
      </c>
      <c r="AG56" s="81">
        <f t="shared" si="5"/>
        <v>0</v>
      </c>
      <c r="AH56" s="157"/>
      <c r="AI56" s="157"/>
      <c r="AJ56" s="157"/>
      <c r="AK56" s="157"/>
      <c r="AL56" s="157"/>
      <c r="AM56" s="157"/>
      <c r="AN56" s="157"/>
      <c r="AO56" s="157"/>
      <c r="AP56" s="157"/>
      <c r="AQ56" s="157"/>
      <c r="AR56" s="85"/>
      <c r="AS56" s="1"/>
      <c r="AT56" s="1"/>
      <c r="AU56" s="1"/>
      <c r="AV56" s="1"/>
      <c r="AW56" s="1"/>
      <c r="AX56" s="1"/>
      <c r="AY56" s="1"/>
      <c r="AZ56" s="1"/>
      <c r="BA56" s="1"/>
      <c r="BB56" s="1"/>
    </row>
    <row r="57" spans="1:54" x14ac:dyDescent="0.25">
      <c r="A57" s="1"/>
      <c r="B57" s="1"/>
      <c r="C57" s="1"/>
      <c r="D57" s="1"/>
      <c r="E57" s="1"/>
      <c r="F57" s="11"/>
      <c r="G57" s="155">
        <v>0</v>
      </c>
      <c r="H57" s="156">
        <v>3.5</v>
      </c>
      <c r="I57" s="81">
        <f t="shared" si="4"/>
        <v>0</v>
      </c>
      <c r="J57" s="158">
        <f t="shared" si="7"/>
        <v>0</v>
      </c>
      <c r="K57" s="158">
        <f t="shared" si="8"/>
        <v>0</v>
      </c>
      <c r="L57" s="158">
        <f t="shared" si="9"/>
        <v>0</v>
      </c>
      <c r="M57" s="158">
        <f t="shared" ref="M57:M66" si="10">IF(G57&gt;0, G57/$M$49, 0)</f>
        <v>0</v>
      </c>
      <c r="N57" s="158">
        <f>IF(G57&gt;0, G57/$N$49, 0)</f>
        <v>0</v>
      </c>
      <c r="O57" s="157"/>
      <c r="P57" s="157"/>
      <c r="Q57" s="157"/>
      <c r="R57" s="157"/>
      <c r="S57" s="157"/>
      <c r="T57" s="157"/>
      <c r="U57" s="157"/>
      <c r="V57" s="157"/>
      <c r="W57" s="157"/>
      <c r="X57" s="85"/>
      <c r="Y57" s="1"/>
      <c r="Z57" s="11"/>
      <c r="AA57" s="155">
        <v>0</v>
      </c>
      <c r="AB57" s="156">
        <v>3.5</v>
      </c>
      <c r="AC57" s="81">
        <f t="shared" si="5"/>
        <v>0</v>
      </c>
      <c r="AD57" s="81">
        <f t="shared" si="5"/>
        <v>0</v>
      </c>
      <c r="AE57" s="81">
        <f t="shared" si="5"/>
        <v>0</v>
      </c>
      <c r="AF57" s="81">
        <f t="shared" si="5"/>
        <v>0</v>
      </c>
      <c r="AG57" s="81">
        <f t="shared" si="5"/>
        <v>0</v>
      </c>
      <c r="AH57" s="81">
        <f t="shared" si="5"/>
        <v>0</v>
      </c>
      <c r="AI57" s="157"/>
      <c r="AJ57" s="157"/>
      <c r="AK57" s="157"/>
      <c r="AL57" s="157"/>
      <c r="AM57" s="157"/>
      <c r="AN57" s="157"/>
      <c r="AO57" s="157"/>
      <c r="AP57" s="157"/>
      <c r="AQ57" s="157"/>
      <c r="AR57" s="85"/>
      <c r="AS57" s="1"/>
      <c r="AT57" s="1"/>
      <c r="AU57" s="1"/>
      <c r="AV57" s="1"/>
      <c r="AW57" s="1"/>
      <c r="AX57" s="1"/>
      <c r="AY57" s="1"/>
      <c r="AZ57" s="1"/>
      <c r="BA57" s="1"/>
      <c r="BB57" s="1"/>
    </row>
    <row r="58" spans="1:54" x14ac:dyDescent="0.25">
      <c r="A58" s="1"/>
      <c r="B58" s="1"/>
      <c r="C58" s="1"/>
      <c r="D58" s="1"/>
      <c r="E58" s="1"/>
      <c r="F58" s="11"/>
      <c r="G58" s="155">
        <v>0</v>
      </c>
      <c r="H58" s="156">
        <v>4</v>
      </c>
      <c r="I58" s="81">
        <f t="shared" si="4"/>
        <v>0</v>
      </c>
      <c r="J58" s="158">
        <f t="shared" si="7"/>
        <v>0</v>
      </c>
      <c r="K58" s="158">
        <f t="shared" si="8"/>
        <v>0</v>
      </c>
      <c r="L58" s="158">
        <f t="shared" si="9"/>
        <v>0</v>
      </c>
      <c r="M58" s="158">
        <f t="shared" si="10"/>
        <v>0</v>
      </c>
      <c r="N58" s="158">
        <f t="shared" ref="N58:N66" si="11">IF(G58&gt;0, G58/$N$49, 0)</f>
        <v>0</v>
      </c>
      <c r="O58" s="158">
        <f>IF(G58&gt;0, G58/$O$49, 0)</f>
        <v>0</v>
      </c>
      <c r="P58" s="157"/>
      <c r="Q58" s="157"/>
      <c r="R58" s="157"/>
      <c r="S58" s="157"/>
      <c r="T58" s="157"/>
      <c r="U58" s="157"/>
      <c r="V58" s="157"/>
      <c r="W58" s="157"/>
      <c r="X58" s="85"/>
      <c r="Y58" s="1"/>
      <c r="Z58" s="11"/>
      <c r="AA58" s="155">
        <v>0</v>
      </c>
      <c r="AB58" s="156">
        <v>4</v>
      </c>
      <c r="AC58" s="81">
        <f t="shared" si="5"/>
        <v>0</v>
      </c>
      <c r="AD58" s="81">
        <f t="shared" si="5"/>
        <v>0</v>
      </c>
      <c r="AE58" s="81">
        <f t="shared" si="5"/>
        <v>0</v>
      </c>
      <c r="AF58" s="81">
        <f t="shared" si="5"/>
        <v>0</v>
      </c>
      <c r="AG58" s="81">
        <f t="shared" si="5"/>
        <v>0</v>
      </c>
      <c r="AH58" s="81">
        <f t="shared" si="5"/>
        <v>0</v>
      </c>
      <c r="AI58" s="81">
        <f t="shared" si="5"/>
        <v>0</v>
      </c>
      <c r="AJ58" s="157"/>
      <c r="AK58" s="157"/>
      <c r="AL58" s="157"/>
      <c r="AM58" s="157"/>
      <c r="AN58" s="157"/>
      <c r="AO58" s="157"/>
      <c r="AP58" s="157"/>
      <c r="AQ58" s="157"/>
      <c r="AR58" s="85"/>
      <c r="AS58" s="1"/>
      <c r="AT58" s="1"/>
      <c r="AU58" s="1"/>
      <c r="AV58" s="1"/>
      <c r="AW58" s="1"/>
      <c r="AX58" s="1"/>
      <c r="AY58" s="1"/>
      <c r="AZ58" s="1"/>
      <c r="BA58" s="1"/>
      <c r="BB58" s="1"/>
    </row>
    <row r="59" spans="1:54" x14ac:dyDescent="0.25">
      <c r="A59" s="1"/>
      <c r="B59" s="1"/>
      <c r="C59" s="1"/>
      <c r="D59" s="1"/>
      <c r="E59" s="1"/>
      <c r="F59" s="11"/>
      <c r="G59" s="155">
        <v>0</v>
      </c>
      <c r="H59" s="156">
        <v>4.5</v>
      </c>
      <c r="I59" s="81">
        <f t="shared" si="4"/>
        <v>0</v>
      </c>
      <c r="J59" s="158">
        <f t="shared" si="7"/>
        <v>0</v>
      </c>
      <c r="K59" s="158">
        <f t="shared" si="8"/>
        <v>0</v>
      </c>
      <c r="L59" s="158">
        <f t="shared" si="9"/>
        <v>0</v>
      </c>
      <c r="M59" s="158">
        <f t="shared" si="10"/>
        <v>0</v>
      </c>
      <c r="N59" s="158">
        <f t="shared" si="11"/>
        <v>0</v>
      </c>
      <c r="O59" s="158">
        <f t="shared" ref="O59:O66" si="12">IF(G59&gt;0, G59/$O$49, 0)</f>
        <v>0</v>
      </c>
      <c r="P59" s="158">
        <f>IF(G59&gt;0, G59/$P$49, 0)</f>
        <v>0</v>
      </c>
      <c r="Q59" s="157"/>
      <c r="R59" s="157"/>
      <c r="S59" s="157"/>
      <c r="T59" s="157"/>
      <c r="U59" s="157"/>
      <c r="V59" s="157"/>
      <c r="W59" s="157"/>
      <c r="X59" s="85"/>
      <c r="Y59" s="1"/>
      <c r="Z59" s="11"/>
      <c r="AA59" s="155">
        <v>0</v>
      </c>
      <c r="AB59" s="156">
        <v>4.5</v>
      </c>
      <c r="AC59" s="81">
        <f t="shared" si="5"/>
        <v>0</v>
      </c>
      <c r="AD59" s="81">
        <f t="shared" si="5"/>
        <v>0</v>
      </c>
      <c r="AE59" s="81">
        <f t="shared" si="5"/>
        <v>0</v>
      </c>
      <c r="AF59" s="81">
        <f t="shared" si="5"/>
        <v>0</v>
      </c>
      <c r="AG59" s="81">
        <f t="shared" si="5"/>
        <v>0</v>
      </c>
      <c r="AH59" s="81">
        <f t="shared" si="5"/>
        <v>0</v>
      </c>
      <c r="AI59" s="81">
        <f t="shared" si="5"/>
        <v>0</v>
      </c>
      <c r="AJ59" s="81">
        <f t="shared" si="5"/>
        <v>0</v>
      </c>
      <c r="AK59" s="157"/>
      <c r="AL59" s="157"/>
      <c r="AM59" s="157"/>
      <c r="AN59" s="157"/>
      <c r="AO59" s="157"/>
      <c r="AP59" s="157"/>
      <c r="AQ59" s="157"/>
      <c r="AR59" s="85"/>
      <c r="AS59" s="1"/>
      <c r="AT59" s="1"/>
      <c r="AU59" s="1"/>
      <c r="AV59" s="1"/>
      <c r="AW59" s="1"/>
      <c r="AX59" s="1"/>
      <c r="AY59" s="1"/>
      <c r="AZ59" s="1"/>
      <c r="BA59" s="1"/>
      <c r="BB59" s="1"/>
    </row>
    <row r="60" spans="1:54" x14ac:dyDescent="0.25">
      <c r="A60" s="1"/>
      <c r="B60" s="1"/>
      <c r="C60" s="1"/>
      <c r="D60" s="1"/>
      <c r="E60" s="1"/>
      <c r="F60" s="11"/>
      <c r="G60" s="155">
        <v>0</v>
      </c>
      <c r="H60" s="156">
        <v>5</v>
      </c>
      <c r="I60" s="81">
        <f t="shared" si="4"/>
        <v>0</v>
      </c>
      <c r="J60" s="158">
        <f t="shared" si="7"/>
        <v>0</v>
      </c>
      <c r="K60" s="158">
        <f t="shared" si="8"/>
        <v>0</v>
      </c>
      <c r="L60" s="158">
        <f t="shared" si="9"/>
        <v>0</v>
      </c>
      <c r="M60" s="158">
        <f t="shared" si="10"/>
        <v>0</v>
      </c>
      <c r="N60" s="158">
        <f t="shared" si="11"/>
        <v>0</v>
      </c>
      <c r="O60" s="158">
        <f t="shared" si="12"/>
        <v>0</v>
      </c>
      <c r="P60" s="158">
        <f t="shared" ref="P60:P66" si="13">IF(G60&gt;0, G60/$P$49, 0)</f>
        <v>0</v>
      </c>
      <c r="Q60" s="158">
        <f>IF(G60&gt;0, G60/$Q$49, 0)</f>
        <v>0</v>
      </c>
      <c r="R60" s="157"/>
      <c r="S60" s="157"/>
      <c r="T60" s="157"/>
      <c r="U60" s="157"/>
      <c r="V60" s="157"/>
      <c r="W60" s="157"/>
      <c r="X60" s="85"/>
      <c r="Y60" s="1"/>
      <c r="Z60" s="11"/>
      <c r="AA60" s="155">
        <v>0</v>
      </c>
      <c r="AB60" s="156">
        <v>5</v>
      </c>
      <c r="AC60" s="81">
        <f t="shared" si="5"/>
        <v>0</v>
      </c>
      <c r="AD60" s="81">
        <f t="shared" si="5"/>
        <v>0</v>
      </c>
      <c r="AE60" s="81">
        <f t="shared" si="5"/>
        <v>0</v>
      </c>
      <c r="AF60" s="81">
        <f t="shared" si="5"/>
        <v>0</v>
      </c>
      <c r="AG60" s="81">
        <f t="shared" si="5"/>
        <v>0</v>
      </c>
      <c r="AH60" s="81">
        <f t="shared" si="5"/>
        <v>0</v>
      </c>
      <c r="AI60" s="81">
        <f t="shared" si="5"/>
        <v>0</v>
      </c>
      <c r="AJ60" s="81">
        <f t="shared" si="5"/>
        <v>0</v>
      </c>
      <c r="AK60" s="81">
        <f t="shared" si="5"/>
        <v>0</v>
      </c>
      <c r="AL60" s="157"/>
      <c r="AM60" s="157"/>
      <c r="AN60" s="157"/>
      <c r="AO60" s="157"/>
      <c r="AP60" s="157"/>
      <c r="AQ60" s="157"/>
      <c r="AR60" s="85"/>
      <c r="AS60" s="1"/>
      <c r="AT60" s="1"/>
      <c r="AU60" s="1"/>
      <c r="AV60" s="1"/>
      <c r="AW60" s="1"/>
      <c r="AX60" s="1"/>
      <c r="AY60" s="1"/>
      <c r="AZ60" s="1"/>
      <c r="BA60" s="1"/>
      <c r="BB60" s="1"/>
    </row>
    <row r="61" spans="1:54" x14ac:dyDescent="0.25">
      <c r="A61" s="1"/>
      <c r="B61" s="1"/>
      <c r="C61" s="1"/>
      <c r="D61" s="1"/>
      <c r="E61" s="1"/>
      <c r="F61" s="11"/>
      <c r="G61" s="155">
        <v>0</v>
      </c>
      <c r="H61" s="156">
        <v>5.5</v>
      </c>
      <c r="I61" s="81">
        <f t="shared" si="4"/>
        <v>0</v>
      </c>
      <c r="J61" s="158">
        <f t="shared" si="7"/>
        <v>0</v>
      </c>
      <c r="K61" s="158">
        <f t="shared" si="8"/>
        <v>0</v>
      </c>
      <c r="L61" s="158">
        <f t="shared" si="9"/>
        <v>0</v>
      </c>
      <c r="M61" s="158">
        <f t="shared" si="10"/>
        <v>0</v>
      </c>
      <c r="N61" s="158">
        <f t="shared" si="11"/>
        <v>0</v>
      </c>
      <c r="O61" s="158">
        <f t="shared" si="12"/>
        <v>0</v>
      </c>
      <c r="P61" s="158">
        <f t="shared" si="13"/>
        <v>0</v>
      </c>
      <c r="Q61" s="158">
        <f t="shared" ref="Q61:Q66" si="14">IF(G61&gt;0, G61/$Q$49, 0)</f>
        <v>0</v>
      </c>
      <c r="R61" s="158">
        <f>IF(G61&gt;0, G61/$R$49, 0)</f>
        <v>0</v>
      </c>
      <c r="S61" s="157"/>
      <c r="T61" s="157"/>
      <c r="U61" s="157"/>
      <c r="V61" s="157"/>
      <c r="W61" s="157"/>
      <c r="X61" s="85"/>
      <c r="Y61" s="1"/>
      <c r="Z61" s="11"/>
      <c r="AA61" s="155">
        <v>0</v>
      </c>
      <c r="AB61" s="156">
        <v>5.5</v>
      </c>
      <c r="AC61" s="81">
        <f t="shared" si="5"/>
        <v>0</v>
      </c>
      <c r="AD61" s="81">
        <f t="shared" si="5"/>
        <v>0</v>
      </c>
      <c r="AE61" s="81">
        <f t="shared" si="5"/>
        <v>0</v>
      </c>
      <c r="AF61" s="81">
        <f t="shared" si="5"/>
        <v>0</v>
      </c>
      <c r="AG61" s="81">
        <f t="shared" si="5"/>
        <v>0</v>
      </c>
      <c r="AH61" s="81">
        <f t="shared" si="5"/>
        <v>0</v>
      </c>
      <c r="AI61" s="81">
        <f t="shared" si="5"/>
        <v>0</v>
      </c>
      <c r="AJ61" s="81">
        <f t="shared" si="5"/>
        <v>0</v>
      </c>
      <c r="AK61" s="81">
        <f t="shared" si="5"/>
        <v>0</v>
      </c>
      <c r="AL61" s="81">
        <f t="shared" si="5"/>
        <v>0</v>
      </c>
      <c r="AM61" s="157"/>
      <c r="AN61" s="157"/>
      <c r="AO61" s="157"/>
      <c r="AP61" s="157"/>
      <c r="AQ61" s="157"/>
      <c r="AR61" s="85"/>
      <c r="AS61" s="1"/>
      <c r="AT61" s="1"/>
      <c r="AU61" s="1"/>
      <c r="AV61" s="1"/>
      <c r="AW61" s="1"/>
      <c r="AX61" s="1"/>
      <c r="AY61" s="1"/>
      <c r="AZ61" s="1"/>
      <c r="BA61" s="1"/>
      <c r="BB61" s="1"/>
    </row>
    <row r="62" spans="1:54" x14ac:dyDescent="0.25">
      <c r="A62" s="1"/>
      <c r="B62" s="1"/>
      <c r="C62" s="1"/>
      <c r="D62" s="1"/>
      <c r="E62" s="1"/>
      <c r="F62" s="11"/>
      <c r="G62" s="155">
        <v>0</v>
      </c>
      <c r="H62" s="156">
        <v>6</v>
      </c>
      <c r="I62" s="81">
        <f t="shared" si="4"/>
        <v>0</v>
      </c>
      <c r="J62" s="158">
        <f t="shared" si="7"/>
        <v>0</v>
      </c>
      <c r="K62" s="158">
        <f t="shared" si="8"/>
        <v>0</v>
      </c>
      <c r="L62" s="158">
        <f t="shared" si="9"/>
        <v>0</v>
      </c>
      <c r="M62" s="158">
        <f t="shared" si="10"/>
        <v>0</v>
      </c>
      <c r="N62" s="158">
        <f t="shared" si="11"/>
        <v>0</v>
      </c>
      <c r="O62" s="158">
        <f t="shared" si="12"/>
        <v>0</v>
      </c>
      <c r="P62" s="158">
        <f t="shared" si="13"/>
        <v>0</v>
      </c>
      <c r="Q62" s="158">
        <f t="shared" si="14"/>
        <v>0</v>
      </c>
      <c r="R62" s="158">
        <f t="shared" ref="R62:R66" si="15">IF(G62&gt;0, G62/$R$49, 0)</f>
        <v>0</v>
      </c>
      <c r="S62" s="158">
        <f>IF(G62&gt;0, G62/$S$49, 0)</f>
        <v>0</v>
      </c>
      <c r="T62" s="157"/>
      <c r="U62" s="157"/>
      <c r="V62" s="157"/>
      <c r="W62" s="157"/>
      <c r="X62" s="85"/>
      <c r="Y62" s="1"/>
      <c r="Z62" s="11"/>
      <c r="AA62" s="155">
        <v>0</v>
      </c>
      <c r="AB62" s="156">
        <v>6</v>
      </c>
      <c r="AC62" s="81">
        <f t="shared" si="5"/>
        <v>0</v>
      </c>
      <c r="AD62" s="81">
        <f t="shared" si="5"/>
        <v>0</v>
      </c>
      <c r="AE62" s="81">
        <f t="shared" si="5"/>
        <v>0</v>
      </c>
      <c r="AF62" s="81">
        <f t="shared" si="5"/>
        <v>0</v>
      </c>
      <c r="AG62" s="81">
        <f t="shared" si="5"/>
        <v>0</v>
      </c>
      <c r="AH62" s="81">
        <f t="shared" si="5"/>
        <v>0</v>
      </c>
      <c r="AI62" s="81">
        <f t="shared" si="5"/>
        <v>0</v>
      </c>
      <c r="AJ62" s="81">
        <f t="shared" si="5"/>
        <v>0</v>
      </c>
      <c r="AK62" s="81">
        <f t="shared" si="5"/>
        <v>0</v>
      </c>
      <c r="AL62" s="81">
        <f t="shared" si="5"/>
        <v>0</v>
      </c>
      <c r="AM62" s="81">
        <f t="shared" si="5"/>
        <v>0</v>
      </c>
      <c r="AN62" s="157"/>
      <c r="AO62" s="157"/>
      <c r="AP62" s="157"/>
      <c r="AQ62" s="157"/>
      <c r="AR62" s="85"/>
      <c r="AS62" s="1"/>
      <c r="AT62" s="1"/>
      <c r="AU62" s="1"/>
      <c r="AV62" s="1"/>
      <c r="AW62" s="1"/>
      <c r="AX62" s="1"/>
      <c r="AY62" s="1"/>
      <c r="AZ62" s="1"/>
      <c r="BA62" s="1"/>
      <c r="BB62" s="1"/>
    </row>
    <row r="63" spans="1:54" x14ac:dyDescent="0.25">
      <c r="A63" s="1"/>
      <c r="B63" s="1"/>
      <c r="C63" s="1"/>
      <c r="D63" s="1"/>
      <c r="E63" s="1"/>
      <c r="F63" s="11"/>
      <c r="G63" s="155">
        <v>0</v>
      </c>
      <c r="H63" s="156">
        <v>6.5</v>
      </c>
      <c r="I63" s="81">
        <f t="shared" si="4"/>
        <v>0</v>
      </c>
      <c r="J63" s="158">
        <f t="shared" si="7"/>
        <v>0</v>
      </c>
      <c r="K63" s="158">
        <f t="shared" si="8"/>
        <v>0</v>
      </c>
      <c r="L63" s="158">
        <f t="shared" si="9"/>
        <v>0</v>
      </c>
      <c r="M63" s="158">
        <f t="shared" si="10"/>
        <v>0</v>
      </c>
      <c r="N63" s="158">
        <f t="shared" si="11"/>
        <v>0</v>
      </c>
      <c r="O63" s="158">
        <f t="shared" si="12"/>
        <v>0</v>
      </c>
      <c r="P63" s="158">
        <f t="shared" si="13"/>
        <v>0</v>
      </c>
      <c r="Q63" s="158">
        <f t="shared" si="14"/>
        <v>0</v>
      </c>
      <c r="R63" s="158">
        <f t="shared" si="15"/>
        <v>0</v>
      </c>
      <c r="S63" s="158">
        <f t="shared" ref="S63:S66" si="16">IF(G63&gt;0, G63/$S$49, 0)</f>
        <v>0</v>
      </c>
      <c r="T63" s="158">
        <f>IF(G63&gt;0, G63/$T$49, 0)</f>
        <v>0</v>
      </c>
      <c r="U63" s="157"/>
      <c r="V63" s="157"/>
      <c r="W63" s="157"/>
      <c r="X63" s="85"/>
      <c r="Y63" s="1"/>
      <c r="Z63" s="11"/>
      <c r="AA63" s="155">
        <v>0</v>
      </c>
      <c r="AB63" s="156">
        <v>6.5</v>
      </c>
      <c r="AC63" s="81">
        <f t="shared" si="5"/>
        <v>0</v>
      </c>
      <c r="AD63" s="81">
        <f t="shared" si="5"/>
        <v>0</v>
      </c>
      <c r="AE63" s="81">
        <f t="shared" si="5"/>
        <v>0</v>
      </c>
      <c r="AF63" s="81">
        <f t="shared" si="5"/>
        <v>0</v>
      </c>
      <c r="AG63" s="81">
        <f t="shared" si="5"/>
        <v>0</v>
      </c>
      <c r="AH63" s="81">
        <f t="shared" si="5"/>
        <v>0</v>
      </c>
      <c r="AI63" s="81">
        <f t="shared" si="5"/>
        <v>0</v>
      </c>
      <c r="AJ63" s="81">
        <f t="shared" si="5"/>
        <v>0</v>
      </c>
      <c r="AK63" s="81">
        <f t="shared" si="5"/>
        <v>0</v>
      </c>
      <c r="AL63" s="81">
        <f t="shared" si="5"/>
        <v>0</v>
      </c>
      <c r="AM63" s="81">
        <f t="shared" si="5"/>
        <v>0</v>
      </c>
      <c r="AN63" s="81">
        <f t="shared" si="5"/>
        <v>0</v>
      </c>
      <c r="AO63" s="157"/>
      <c r="AP63" s="157"/>
      <c r="AQ63" s="157"/>
      <c r="AR63" s="85"/>
      <c r="AS63" s="1"/>
      <c r="AT63" s="1"/>
      <c r="AU63" s="1"/>
      <c r="AV63" s="1"/>
      <c r="AW63" s="1"/>
      <c r="AX63" s="1"/>
      <c r="AY63" s="1"/>
      <c r="AZ63" s="1"/>
      <c r="BA63" s="1"/>
      <c r="BB63" s="1"/>
    </row>
    <row r="64" spans="1:54" x14ac:dyDescent="0.25">
      <c r="A64" s="1"/>
      <c r="B64" s="1"/>
      <c r="C64" s="1"/>
      <c r="D64" s="1"/>
      <c r="E64" s="1"/>
      <c r="F64" s="11"/>
      <c r="G64" s="155">
        <v>0</v>
      </c>
      <c r="H64" s="156">
        <v>7</v>
      </c>
      <c r="I64" s="81">
        <f t="shared" si="4"/>
        <v>0</v>
      </c>
      <c r="J64" s="158">
        <f t="shared" si="7"/>
        <v>0</v>
      </c>
      <c r="K64" s="158">
        <f t="shared" si="8"/>
        <v>0</v>
      </c>
      <c r="L64" s="158">
        <f t="shared" si="9"/>
        <v>0</v>
      </c>
      <c r="M64" s="158">
        <f t="shared" si="10"/>
        <v>0</v>
      </c>
      <c r="N64" s="158">
        <f t="shared" si="11"/>
        <v>0</v>
      </c>
      <c r="O64" s="158">
        <f t="shared" si="12"/>
        <v>0</v>
      </c>
      <c r="P64" s="158">
        <f t="shared" si="13"/>
        <v>0</v>
      </c>
      <c r="Q64" s="158">
        <f t="shared" si="14"/>
        <v>0</v>
      </c>
      <c r="R64" s="158">
        <f t="shared" si="15"/>
        <v>0</v>
      </c>
      <c r="S64" s="158">
        <f t="shared" si="16"/>
        <v>0</v>
      </c>
      <c r="T64" s="158">
        <f t="shared" ref="T64:T66" si="17">IF(G64&gt;0, G64/$T$49, 0)</f>
        <v>0</v>
      </c>
      <c r="U64" s="158">
        <f>IF(G64&gt;0, G64/$U$49, 0)</f>
        <v>0</v>
      </c>
      <c r="V64" s="157"/>
      <c r="W64" s="157"/>
      <c r="X64" s="85"/>
      <c r="Y64" s="1"/>
      <c r="Z64" s="11"/>
      <c r="AA64" s="155">
        <v>0</v>
      </c>
      <c r="AB64" s="156">
        <v>7</v>
      </c>
      <c r="AC64" s="81">
        <f t="shared" si="5"/>
        <v>0</v>
      </c>
      <c r="AD64" s="81">
        <f t="shared" si="5"/>
        <v>0</v>
      </c>
      <c r="AE64" s="81">
        <f t="shared" si="5"/>
        <v>0</v>
      </c>
      <c r="AF64" s="81">
        <f t="shared" si="5"/>
        <v>0</v>
      </c>
      <c r="AG64" s="81">
        <f t="shared" si="5"/>
        <v>0</v>
      </c>
      <c r="AH64" s="81">
        <f t="shared" si="5"/>
        <v>0</v>
      </c>
      <c r="AI64" s="81">
        <f t="shared" si="5"/>
        <v>0</v>
      </c>
      <c r="AJ64" s="81">
        <f t="shared" si="5"/>
        <v>0</v>
      </c>
      <c r="AK64" s="81">
        <f t="shared" si="5"/>
        <v>0</v>
      </c>
      <c r="AL64" s="81">
        <f t="shared" si="5"/>
        <v>0</v>
      </c>
      <c r="AM64" s="81">
        <f t="shared" si="5"/>
        <v>0</v>
      </c>
      <c r="AN64" s="81">
        <f t="shared" si="5"/>
        <v>0</v>
      </c>
      <c r="AO64" s="81">
        <f t="shared" si="5"/>
        <v>0</v>
      </c>
      <c r="AP64" s="157"/>
      <c r="AQ64" s="157"/>
      <c r="AR64" s="85"/>
      <c r="AS64" s="1"/>
      <c r="AT64" s="1"/>
      <c r="AU64" s="1"/>
      <c r="AV64" s="1"/>
      <c r="AW64" s="1"/>
      <c r="AX64" s="1"/>
      <c r="AY64" s="1"/>
      <c r="AZ64" s="1"/>
      <c r="BA64" s="1"/>
      <c r="BB64" s="1"/>
    </row>
    <row r="65" spans="1:54" x14ac:dyDescent="0.25">
      <c r="A65" s="1"/>
      <c r="B65" s="1"/>
      <c r="C65" s="1"/>
      <c r="D65" s="1"/>
      <c r="E65" s="1"/>
      <c r="F65" s="11"/>
      <c r="G65" s="155">
        <v>0</v>
      </c>
      <c r="H65" s="156">
        <v>7.5</v>
      </c>
      <c r="I65" s="81">
        <f t="shared" si="4"/>
        <v>0</v>
      </c>
      <c r="J65" s="158">
        <f t="shared" si="7"/>
        <v>0</v>
      </c>
      <c r="K65" s="158">
        <f t="shared" si="8"/>
        <v>0</v>
      </c>
      <c r="L65" s="158">
        <f t="shared" si="9"/>
        <v>0</v>
      </c>
      <c r="M65" s="158">
        <f t="shared" si="10"/>
        <v>0</v>
      </c>
      <c r="N65" s="158">
        <f t="shared" si="11"/>
        <v>0</v>
      </c>
      <c r="O65" s="158">
        <f t="shared" si="12"/>
        <v>0</v>
      </c>
      <c r="P65" s="158">
        <f t="shared" si="13"/>
        <v>0</v>
      </c>
      <c r="Q65" s="158">
        <f t="shared" si="14"/>
        <v>0</v>
      </c>
      <c r="R65" s="158">
        <f t="shared" si="15"/>
        <v>0</v>
      </c>
      <c r="S65" s="158">
        <f t="shared" si="16"/>
        <v>0</v>
      </c>
      <c r="T65" s="158">
        <f t="shared" si="17"/>
        <v>0</v>
      </c>
      <c r="U65" s="158">
        <f t="shared" ref="U65:U66" si="18">IF(G65&gt;0, G65/$U$49, 0)</f>
        <v>0</v>
      </c>
      <c r="V65" s="158">
        <f>IF(G65&gt;0, G65/$V$49, 0)</f>
        <v>0</v>
      </c>
      <c r="W65" s="157"/>
      <c r="X65" s="85"/>
      <c r="Y65" s="1"/>
      <c r="Z65" s="11"/>
      <c r="AA65" s="155">
        <v>0</v>
      </c>
      <c r="AB65" s="156">
        <v>7.5</v>
      </c>
      <c r="AC65" s="81">
        <f t="shared" si="5"/>
        <v>0</v>
      </c>
      <c r="AD65" s="81">
        <f t="shared" si="5"/>
        <v>0</v>
      </c>
      <c r="AE65" s="81">
        <f t="shared" si="5"/>
        <v>0</v>
      </c>
      <c r="AF65" s="81">
        <f t="shared" si="5"/>
        <v>0</v>
      </c>
      <c r="AG65" s="81">
        <f t="shared" si="5"/>
        <v>0</v>
      </c>
      <c r="AH65" s="81">
        <f t="shared" si="5"/>
        <v>0</v>
      </c>
      <c r="AI65" s="81">
        <f t="shared" si="5"/>
        <v>0</v>
      </c>
      <c r="AJ65" s="81">
        <f t="shared" si="5"/>
        <v>0</v>
      </c>
      <c r="AK65" s="81">
        <f t="shared" si="5"/>
        <v>0</v>
      </c>
      <c r="AL65" s="81">
        <f t="shared" si="5"/>
        <v>0</v>
      </c>
      <c r="AM65" s="81">
        <f t="shared" si="5"/>
        <v>0</v>
      </c>
      <c r="AN65" s="81">
        <f t="shared" si="5"/>
        <v>0</v>
      </c>
      <c r="AO65" s="81">
        <f t="shared" si="5"/>
        <v>0</v>
      </c>
      <c r="AP65" s="81">
        <f t="shared" si="5"/>
        <v>0</v>
      </c>
      <c r="AQ65" s="157"/>
      <c r="AR65" s="85"/>
      <c r="AS65" s="1"/>
      <c r="AT65" s="1"/>
      <c r="AU65" s="1"/>
      <c r="AV65" s="1"/>
      <c r="AW65" s="1"/>
      <c r="AX65" s="1"/>
      <c r="AY65" s="1"/>
      <c r="AZ65" s="1"/>
      <c r="BA65" s="1"/>
      <c r="BB65" s="1"/>
    </row>
    <row r="66" spans="1:54" ht="15.75" thickBot="1" x14ac:dyDescent="0.3">
      <c r="A66" s="1"/>
      <c r="B66" s="1"/>
      <c r="C66" s="1"/>
      <c r="D66" s="1"/>
      <c r="E66" s="1"/>
      <c r="F66" s="13"/>
      <c r="G66" s="80">
        <v>0</v>
      </c>
      <c r="H66" s="56">
        <v>8</v>
      </c>
      <c r="I66" s="82">
        <f t="shared" si="4"/>
        <v>0</v>
      </c>
      <c r="J66" s="14">
        <f t="shared" si="7"/>
        <v>0</v>
      </c>
      <c r="K66" s="14">
        <f t="shared" si="8"/>
        <v>0</v>
      </c>
      <c r="L66" s="14">
        <f t="shared" si="9"/>
        <v>0</v>
      </c>
      <c r="M66" s="14">
        <f t="shared" si="10"/>
        <v>0</v>
      </c>
      <c r="N66" s="14">
        <f t="shared" si="11"/>
        <v>0</v>
      </c>
      <c r="O66" s="14">
        <f t="shared" si="12"/>
        <v>0</v>
      </c>
      <c r="P66" s="14">
        <f t="shared" si="13"/>
        <v>0</v>
      </c>
      <c r="Q66" s="14">
        <f t="shared" si="14"/>
        <v>0</v>
      </c>
      <c r="R66" s="14">
        <f t="shared" si="15"/>
        <v>0</v>
      </c>
      <c r="S66" s="14">
        <f t="shared" si="16"/>
        <v>0</v>
      </c>
      <c r="T66" s="14">
        <f t="shared" si="17"/>
        <v>0</v>
      </c>
      <c r="U66" s="14">
        <f t="shared" si="18"/>
        <v>0</v>
      </c>
      <c r="V66" s="14">
        <f>IF(G66&gt;0, G66/$V$49, 0)</f>
        <v>0</v>
      </c>
      <c r="W66" s="14">
        <f>IF(G66&gt;0, G66/$W$49, 0)</f>
        <v>0</v>
      </c>
      <c r="X66" s="86"/>
      <c r="Y66" s="1"/>
      <c r="Z66" s="13"/>
      <c r="AA66" s="80">
        <v>0</v>
      </c>
      <c r="AB66" s="56">
        <v>8</v>
      </c>
      <c r="AC66" s="82">
        <f t="shared" si="5"/>
        <v>0</v>
      </c>
      <c r="AD66" s="82">
        <f t="shared" si="5"/>
        <v>0</v>
      </c>
      <c r="AE66" s="82">
        <f t="shared" si="5"/>
        <v>0</v>
      </c>
      <c r="AF66" s="82">
        <f t="shared" si="5"/>
        <v>0</v>
      </c>
      <c r="AG66" s="82">
        <f t="shared" si="5"/>
        <v>0</v>
      </c>
      <c r="AH66" s="82">
        <f t="shared" si="5"/>
        <v>0</v>
      </c>
      <c r="AI66" s="82">
        <f t="shared" si="5"/>
        <v>0</v>
      </c>
      <c r="AJ66" s="82">
        <f t="shared" si="5"/>
        <v>0</v>
      </c>
      <c r="AK66" s="82">
        <f t="shared" si="5"/>
        <v>0</v>
      </c>
      <c r="AL66" s="82">
        <f t="shared" si="5"/>
        <v>0</v>
      </c>
      <c r="AM66" s="82">
        <f t="shared" si="5"/>
        <v>0</v>
      </c>
      <c r="AN66" s="82">
        <f t="shared" si="5"/>
        <v>0</v>
      </c>
      <c r="AO66" s="82">
        <f t="shared" si="5"/>
        <v>0</v>
      </c>
      <c r="AP66" s="82">
        <f t="shared" si="5"/>
        <v>0</v>
      </c>
      <c r="AQ66" s="82">
        <f t="shared" si="5"/>
        <v>0</v>
      </c>
      <c r="AR66" s="86"/>
      <c r="AS66" s="1"/>
      <c r="AT66" s="1"/>
      <c r="AU66" s="1"/>
      <c r="AV66" s="1"/>
      <c r="AW66" s="1"/>
      <c r="AX66" s="1"/>
      <c r="AY66" s="1"/>
      <c r="AZ66" s="1"/>
      <c r="BA66" s="1"/>
      <c r="BB66" s="1"/>
    </row>
    <row r="67" spans="1:54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</row>
    <row r="68" spans="1:54" x14ac:dyDescent="0.25">
      <c r="A68" s="1"/>
      <c r="B68" s="1"/>
      <c r="C68" s="1"/>
      <c r="D68" s="1"/>
      <c r="E68" s="1"/>
      <c r="F68" s="1" t="s">
        <v>95</v>
      </c>
      <c r="G68" s="18">
        <v>2</v>
      </c>
      <c r="H68" s="1" t="s">
        <v>46</v>
      </c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</row>
    <row r="69" spans="1:54" ht="15.75" thickBot="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</row>
    <row r="70" spans="1:54" x14ac:dyDescent="0.25">
      <c r="A70" s="1"/>
      <c r="B70" s="1"/>
      <c r="C70" s="1"/>
      <c r="D70" s="1"/>
      <c r="E70" s="1"/>
      <c r="F70" s="89" t="s">
        <v>96</v>
      </c>
      <c r="G70" s="9" t="s">
        <v>93</v>
      </c>
      <c r="H70" s="78">
        <v>1</v>
      </c>
      <c r="I70" s="78">
        <f>H42</f>
        <v>0.97870000000000001</v>
      </c>
      <c r="J70" s="78">
        <f t="shared" ref="J70:X70" si="19">I42</f>
        <v>0.95709999999999995</v>
      </c>
      <c r="K70" s="78">
        <f t="shared" si="19"/>
        <v>0.93610000000000004</v>
      </c>
      <c r="L70" s="78">
        <f t="shared" si="19"/>
        <v>0</v>
      </c>
      <c r="M70" s="78">
        <f t="shared" si="19"/>
        <v>0</v>
      </c>
      <c r="N70" s="78">
        <f t="shared" si="19"/>
        <v>0</v>
      </c>
      <c r="O70" s="78">
        <f t="shared" si="19"/>
        <v>0</v>
      </c>
      <c r="P70" s="78">
        <f t="shared" si="19"/>
        <v>0</v>
      </c>
      <c r="Q70" s="78">
        <f t="shared" si="19"/>
        <v>0</v>
      </c>
      <c r="R70" s="78">
        <f t="shared" si="19"/>
        <v>0</v>
      </c>
      <c r="S70" s="78">
        <f t="shared" si="19"/>
        <v>0</v>
      </c>
      <c r="T70" s="78">
        <f t="shared" si="19"/>
        <v>0</v>
      </c>
      <c r="U70" s="78">
        <f t="shared" si="19"/>
        <v>0</v>
      </c>
      <c r="V70" s="78">
        <f t="shared" si="19"/>
        <v>0</v>
      </c>
      <c r="W70" s="78">
        <f t="shared" si="19"/>
        <v>0</v>
      </c>
      <c r="X70" s="79">
        <f t="shared" si="19"/>
        <v>0</v>
      </c>
      <c r="Y70" s="1"/>
      <c r="Z70" s="89" t="s">
        <v>102</v>
      </c>
      <c r="AA70" s="9" t="s">
        <v>93</v>
      </c>
      <c r="AB70" s="78">
        <v>1</v>
      </c>
      <c r="AC70" s="78">
        <f>H46</f>
        <v>0.98189499999999996</v>
      </c>
      <c r="AD70" s="78">
        <f t="shared" ref="AD70:AR70" si="20">I46</f>
        <v>0.96033999999999986</v>
      </c>
      <c r="AE70" s="78">
        <f t="shared" si="20"/>
        <v>0.93924999999999992</v>
      </c>
      <c r="AF70" s="78">
        <f t="shared" si="20"/>
        <v>0</v>
      </c>
      <c r="AG70" s="78">
        <f t="shared" si="20"/>
        <v>0</v>
      </c>
      <c r="AH70" s="78">
        <f t="shared" si="20"/>
        <v>0</v>
      </c>
      <c r="AI70" s="78">
        <f t="shared" si="20"/>
        <v>0</v>
      </c>
      <c r="AJ70" s="78">
        <f t="shared" si="20"/>
        <v>0</v>
      </c>
      <c r="AK70" s="78">
        <f t="shared" si="20"/>
        <v>0</v>
      </c>
      <c r="AL70" s="78">
        <f t="shared" si="20"/>
        <v>0</v>
      </c>
      <c r="AM70" s="78">
        <f t="shared" si="20"/>
        <v>0</v>
      </c>
      <c r="AN70" s="78">
        <f t="shared" si="20"/>
        <v>0</v>
      </c>
      <c r="AO70" s="78">
        <f t="shared" si="20"/>
        <v>0</v>
      </c>
      <c r="AP70" s="78">
        <f t="shared" si="20"/>
        <v>0</v>
      </c>
      <c r="AQ70" s="78">
        <f t="shared" si="20"/>
        <v>0</v>
      </c>
      <c r="AR70" s="79">
        <f t="shared" si="20"/>
        <v>0</v>
      </c>
      <c r="AS70" s="1"/>
      <c r="AT70" s="1"/>
      <c r="AU70" s="1"/>
      <c r="AV70" s="1"/>
      <c r="AW70" s="1"/>
      <c r="AX70" s="1"/>
      <c r="AY70" s="1"/>
      <c r="AZ70" s="1"/>
      <c r="BA70" s="1"/>
      <c r="BB70" s="1"/>
    </row>
    <row r="71" spans="1:54" x14ac:dyDescent="0.25">
      <c r="A71" s="1"/>
      <c r="B71" s="1"/>
      <c r="C71" s="1"/>
      <c r="D71" s="1"/>
      <c r="E71" s="1"/>
      <c r="F71" s="5" t="s">
        <v>94</v>
      </c>
      <c r="G71" s="155">
        <v>1</v>
      </c>
      <c r="H71" s="156">
        <f>G60</f>
        <v>0</v>
      </c>
      <c r="I71" s="156">
        <f>H41</f>
        <v>0.5</v>
      </c>
      <c r="J71" s="156">
        <f t="shared" ref="J71:X71" si="21">I41</f>
        <v>1</v>
      </c>
      <c r="K71" s="156">
        <f t="shared" si="21"/>
        <v>1.5</v>
      </c>
      <c r="L71" s="156">
        <f t="shared" si="21"/>
        <v>2</v>
      </c>
      <c r="M71" s="156">
        <f t="shared" si="21"/>
        <v>2.5</v>
      </c>
      <c r="N71" s="156">
        <f t="shared" si="21"/>
        <v>3</v>
      </c>
      <c r="O71" s="156">
        <f t="shared" si="21"/>
        <v>3.5</v>
      </c>
      <c r="P71" s="156">
        <f t="shared" si="21"/>
        <v>4</v>
      </c>
      <c r="Q71" s="156">
        <f t="shared" si="21"/>
        <v>4.5</v>
      </c>
      <c r="R71" s="156">
        <f t="shared" si="21"/>
        <v>5</v>
      </c>
      <c r="S71" s="156">
        <f t="shared" si="21"/>
        <v>5.5</v>
      </c>
      <c r="T71" s="156">
        <f t="shared" si="21"/>
        <v>6</v>
      </c>
      <c r="U71" s="156">
        <f t="shared" si="21"/>
        <v>6.5</v>
      </c>
      <c r="V71" s="156">
        <f t="shared" si="21"/>
        <v>7</v>
      </c>
      <c r="W71" s="156">
        <f t="shared" si="21"/>
        <v>7.5</v>
      </c>
      <c r="X71" s="54">
        <f t="shared" si="21"/>
        <v>8</v>
      </c>
      <c r="Y71" s="1"/>
      <c r="Z71" s="5" t="s">
        <v>94</v>
      </c>
      <c r="AA71" s="155">
        <v>1</v>
      </c>
      <c r="AB71" s="156">
        <f>AA60</f>
        <v>0</v>
      </c>
      <c r="AC71" s="156">
        <f>AC50</f>
        <v>0.5</v>
      </c>
      <c r="AD71" s="156">
        <f t="shared" ref="AD71:AR71" si="22">AD50</f>
        <v>1</v>
      </c>
      <c r="AE71" s="156">
        <f t="shared" si="22"/>
        <v>1.5</v>
      </c>
      <c r="AF71" s="156">
        <f t="shared" si="22"/>
        <v>2</v>
      </c>
      <c r="AG71" s="156">
        <f t="shared" si="22"/>
        <v>2.5</v>
      </c>
      <c r="AH71" s="156">
        <f t="shared" si="22"/>
        <v>3</v>
      </c>
      <c r="AI71" s="156">
        <f t="shared" si="22"/>
        <v>3.5</v>
      </c>
      <c r="AJ71" s="156">
        <f t="shared" si="22"/>
        <v>4</v>
      </c>
      <c r="AK71" s="156">
        <f t="shared" si="22"/>
        <v>4.5</v>
      </c>
      <c r="AL71" s="156">
        <f t="shared" si="22"/>
        <v>5</v>
      </c>
      <c r="AM71" s="156">
        <f t="shared" si="22"/>
        <v>5.5</v>
      </c>
      <c r="AN71" s="156">
        <f t="shared" si="22"/>
        <v>6</v>
      </c>
      <c r="AO71" s="156">
        <f t="shared" si="22"/>
        <v>6.5</v>
      </c>
      <c r="AP71" s="156">
        <f t="shared" si="22"/>
        <v>7</v>
      </c>
      <c r="AQ71" s="156">
        <f t="shared" si="22"/>
        <v>7.5</v>
      </c>
      <c r="AR71" s="54">
        <f t="shared" si="22"/>
        <v>8</v>
      </c>
      <c r="AS71" s="1"/>
      <c r="AT71" s="1"/>
      <c r="AU71" s="1"/>
      <c r="AV71" s="1"/>
      <c r="AW71" s="1"/>
      <c r="AX71" s="1"/>
      <c r="AY71" s="1"/>
      <c r="AZ71" s="1"/>
      <c r="BA71" s="1"/>
      <c r="BB71" s="1"/>
    </row>
    <row r="72" spans="1:54" x14ac:dyDescent="0.25">
      <c r="A72" s="1"/>
      <c r="B72" s="1"/>
      <c r="C72" s="1"/>
      <c r="D72" s="1"/>
      <c r="E72" s="1"/>
      <c r="F72" s="11"/>
      <c r="G72" s="155">
        <f t="array" ref="G72:G87">TRANSPOSE(H42:W42)</f>
        <v>0.97870000000000001</v>
      </c>
      <c r="H72" s="156">
        <f t="array" ref="H72:H87">TRANSPOSE(H41:W41)</f>
        <v>0.5</v>
      </c>
      <c r="I72" s="83"/>
      <c r="J72" s="87"/>
      <c r="K72" s="87"/>
      <c r="L72" s="87"/>
      <c r="M72" s="87"/>
      <c r="N72" s="87"/>
      <c r="O72" s="87"/>
      <c r="P72" s="87"/>
      <c r="Q72" s="87"/>
      <c r="R72" s="87"/>
      <c r="S72" s="87"/>
      <c r="T72" s="87"/>
      <c r="U72" s="87"/>
      <c r="V72" s="87"/>
      <c r="W72" s="87"/>
      <c r="X72" s="88"/>
      <c r="Y72" s="1"/>
      <c r="Z72" s="11"/>
      <c r="AA72" s="155">
        <f t="array" ref="AA72:AA87">TRANSPOSE(H46:W46)</f>
        <v>0.98189499999999996</v>
      </c>
      <c r="AB72" s="156">
        <f t="array" ref="AB72:AB87">TRANSPOSE(H41:W41)</f>
        <v>0.5</v>
      </c>
      <c r="AC72" s="83"/>
      <c r="AD72" s="87"/>
      <c r="AE72" s="87"/>
      <c r="AF72" s="87"/>
      <c r="AG72" s="87"/>
      <c r="AH72" s="87"/>
      <c r="AI72" s="87"/>
      <c r="AJ72" s="87"/>
      <c r="AK72" s="87"/>
      <c r="AL72" s="87"/>
      <c r="AM72" s="87"/>
      <c r="AN72" s="87"/>
      <c r="AO72" s="87"/>
      <c r="AP72" s="87"/>
      <c r="AQ72" s="87"/>
      <c r="AR72" s="88"/>
      <c r="AS72" s="1"/>
      <c r="AT72" s="1"/>
      <c r="AU72" s="1"/>
      <c r="AV72" s="1"/>
      <c r="AW72" s="1"/>
      <c r="AX72" s="1"/>
      <c r="AY72" s="1"/>
      <c r="AZ72" s="1"/>
      <c r="BA72" s="1"/>
      <c r="BB72" s="1"/>
    </row>
    <row r="73" spans="1:54" x14ac:dyDescent="0.25">
      <c r="B73" s="1"/>
      <c r="C73" s="1"/>
      <c r="D73" s="1"/>
      <c r="E73" s="1"/>
      <c r="F73" s="5"/>
      <c r="G73" s="155">
        <v>0.95709999999999995</v>
      </c>
      <c r="H73" s="156">
        <v>1</v>
      </c>
      <c r="I73" s="81">
        <f>IF(I52&gt;0, IF(TYPE($G$68)=1, $G$68 * ((I52^(-1/($G$68*($H73-I$71))))-1), -(LN(I52)/($H73-I$71))), 0)</f>
        <v>4.513634938877864E-2</v>
      </c>
      <c r="J73" s="157"/>
      <c r="K73" s="157"/>
      <c r="L73" s="157"/>
      <c r="M73" s="157"/>
      <c r="N73" s="157"/>
      <c r="O73" s="157"/>
      <c r="P73" s="157"/>
      <c r="Q73" s="157"/>
      <c r="R73" s="157"/>
      <c r="S73" s="157"/>
      <c r="T73" s="157"/>
      <c r="U73" s="157"/>
      <c r="V73" s="157"/>
      <c r="W73" s="157"/>
      <c r="X73" s="85"/>
      <c r="Y73" s="1"/>
      <c r="Z73" s="5"/>
      <c r="AA73" s="155">
        <v>0.96033999999999986</v>
      </c>
      <c r="AB73" s="156">
        <v>1</v>
      </c>
      <c r="AC73" s="81">
        <f>IF(AC52&gt;0, IF(TYPE($G$68)=1, $G$68 * ((AC52^(-1/($G$68*($AB73-AC$71))))-1), -(LN(AC52)/($AB73-AC$71))), 0)</f>
        <v>4.4890351333902956E-2</v>
      </c>
      <c r="AD73" s="157"/>
      <c r="AE73" s="157"/>
      <c r="AF73" s="157"/>
      <c r="AG73" s="157"/>
      <c r="AH73" s="157"/>
      <c r="AI73" s="157"/>
      <c r="AJ73" s="157"/>
      <c r="AK73" s="157"/>
      <c r="AL73" s="157"/>
      <c r="AM73" s="157"/>
      <c r="AN73" s="157"/>
      <c r="AO73" s="157"/>
      <c r="AP73" s="157"/>
      <c r="AQ73" s="157"/>
      <c r="AR73" s="85"/>
      <c r="AS73" s="1"/>
      <c r="AT73" s="1"/>
      <c r="AU73" s="1"/>
      <c r="AV73" s="1"/>
      <c r="AW73" s="1"/>
      <c r="AX73" s="1"/>
      <c r="AY73" s="1"/>
      <c r="AZ73" s="1"/>
      <c r="BA73" s="1"/>
      <c r="BB73" s="1"/>
    </row>
    <row r="74" spans="1:54" x14ac:dyDescent="0.25">
      <c r="A74" s="1"/>
      <c r="B74" s="1"/>
      <c r="C74" s="1"/>
      <c r="D74" s="1"/>
      <c r="E74" s="1"/>
      <c r="F74" s="11"/>
      <c r="G74" s="155">
        <v>0.93610000000000004</v>
      </c>
      <c r="H74" s="156">
        <v>1.5</v>
      </c>
      <c r="I74" s="81">
        <f t="shared" ref="I74:W87" si="23">IF(I53&gt;0, IF(TYPE($G$68)=1, $G$68 * ((I53^(-1/($G$68*($H74-I$71))))-1), -(LN(I53)/($H74-I$71))), 0)</f>
        <v>4.500167095426777E-2</v>
      </c>
      <c r="J74" s="81">
        <f t="shared" si="23"/>
        <v>4.4867001388740224E-2</v>
      </c>
      <c r="K74" s="157"/>
      <c r="L74" s="157"/>
      <c r="M74" s="157"/>
      <c r="N74" s="157"/>
      <c r="O74" s="157"/>
      <c r="P74" s="157"/>
      <c r="Q74" s="157"/>
      <c r="R74" s="157"/>
      <c r="S74" s="157"/>
      <c r="T74" s="157"/>
      <c r="U74" s="157"/>
      <c r="V74" s="157"/>
      <c r="W74" s="157"/>
      <c r="X74" s="85"/>
      <c r="Y74" s="1"/>
      <c r="Z74" s="11"/>
      <c r="AA74" s="155">
        <v>0.93924999999999992</v>
      </c>
      <c r="AB74" s="156">
        <v>1.5</v>
      </c>
      <c r="AC74" s="81">
        <f t="shared" ref="AC74:AQ87" si="24">IF(AC53&gt;0, IF(TYPE($G$68)=1, $G$68 * ((AC53^(-1/($G$68*($AB74-AC$71))))-1), -(LN(AC53)/($AB74-AC$71))), 0)</f>
        <v>4.4899261354220954E-2</v>
      </c>
      <c r="AD74" s="81">
        <f t="shared" si="24"/>
        <v>4.4908171413361675E-2</v>
      </c>
      <c r="AE74" s="157"/>
      <c r="AF74" s="157"/>
      <c r="AG74" s="157"/>
      <c r="AH74" s="157"/>
      <c r="AI74" s="157"/>
      <c r="AJ74" s="157"/>
      <c r="AK74" s="157"/>
      <c r="AL74" s="157"/>
      <c r="AM74" s="157"/>
      <c r="AN74" s="157"/>
      <c r="AO74" s="157"/>
      <c r="AP74" s="157"/>
      <c r="AQ74" s="157"/>
      <c r="AR74" s="85"/>
      <c r="AS74" s="1"/>
      <c r="AT74" s="1"/>
      <c r="AU74" s="1"/>
      <c r="AV74" s="1"/>
      <c r="AW74" s="1"/>
      <c r="AX74" s="1"/>
      <c r="AY74" s="1"/>
      <c r="AZ74" s="1"/>
      <c r="BA74" s="1"/>
      <c r="BB74" s="1"/>
    </row>
    <row r="75" spans="1:54" x14ac:dyDescent="0.25">
      <c r="A75" s="1"/>
      <c r="B75" s="1"/>
      <c r="C75" s="1"/>
      <c r="D75" s="1"/>
      <c r="E75" s="1"/>
      <c r="F75" s="11"/>
      <c r="G75" s="155">
        <v>0</v>
      </c>
      <c r="H75" s="156">
        <v>2</v>
      </c>
      <c r="I75" s="81">
        <f t="shared" si="23"/>
        <v>0</v>
      </c>
      <c r="J75" s="81">
        <f t="shared" si="23"/>
        <v>0</v>
      </c>
      <c r="K75" s="81">
        <f t="shared" si="23"/>
        <v>0</v>
      </c>
      <c r="L75" s="157"/>
      <c r="M75" s="157"/>
      <c r="N75" s="157"/>
      <c r="O75" s="157"/>
      <c r="P75" s="157"/>
      <c r="Q75" s="157"/>
      <c r="R75" s="157"/>
      <c r="S75" s="157"/>
      <c r="T75" s="157"/>
      <c r="U75" s="157"/>
      <c r="V75" s="157"/>
      <c r="W75" s="157"/>
      <c r="X75" s="85"/>
      <c r="Y75" s="1"/>
      <c r="Z75" s="11"/>
      <c r="AA75" s="155">
        <v>0</v>
      </c>
      <c r="AB75" s="156">
        <v>2</v>
      </c>
      <c r="AC75" s="81">
        <f t="shared" si="24"/>
        <v>0</v>
      </c>
      <c r="AD75" s="81">
        <f t="shared" si="24"/>
        <v>0</v>
      </c>
      <c r="AE75" s="81">
        <f t="shared" si="24"/>
        <v>0</v>
      </c>
      <c r="AF75" s="157"/>
      <c r="AG75" s="157"/>
      <c r="AH75" s="157"/>
      <c r="AI75" s="157"/>
      <c r="AJ75" s="157"/>
      <c r="AK75" s="157"/>
      <c r="AL75" s="157"/>
      <c r="AM75" s="157"/>
      <c r="AN75" s="157"/>
      <c r="AO75" s="157"/>
      <c r="AP75" s="157"/>
      <c r="AQ75" s="157"/>
      <c r="AR75" s="85"/>
      <c r="AS75" s="1"/>
      <c r="AT75" s="1"/>
      <c r="AU75" s="1"/>
      <c r="AV75" s="1"/>
      <c r="AW75" s="1"/>
      <c r="AX75" s="1"/>
      <c r="AY75" s="1"/>
      <c r="AZ75" s="1"/>
      <c r="BA75" s="1"/>
      <c r="BB75" s="1"/>
    </row>
    <row r="76" spans="1:54" x14ac:dyDescent="0.25">
      <c r="A76" s="1"/>
      <c r="B76" s="1"/>
      <c r="C76" s="1"/>
      <c r="D76" s="1"/>
      <c r="E76" s="1"/>
      <c r="F76" s="11"/>
      <c r="G76" s="155">
        <v>0</v>
      </c>
      <c r="H76" s="156">
        <v>2.5</v>
      </c>
      <c r="I76" s="81">
        <f t="shared" si="23"/>
        <v>0</v>
      </c>
      <c r="J76" s="81">
        <f t="shared" si="23"/>
        <v>0</v>
      </c>
      <c r="K76" s="81">
        <f t="shared" si="23"/>
        <v>0</v>
      </c>
      <c r="L76" s="81">
        <f t="shared" si="23"/>
        <v>0</v>
      </c>
      <c r="M76" s="157"/>
      <c r="N76" s="157"/>
      <c r="O76" s="157"/>
      <c r="P76" s="157"/>
      <c r="Q76" s="157"/>
      <c r="R76" s="157"/>
      <c r="S76" s="157"/>
      <c r="T76" s="157"/>
      <c r="U76" s="157"/>
      <c r="V76" s="157"/>
      <c r="W76" s="157"/>
      <c r="X76" s="85"/>
      <c r="Y76" s="1"/>
      <c r="Z76" s="11"/>
      <c r="AA76" s="155">
        <v>0</v>
      </c>
      <c r="AB76" s="156">
        <v>2.5</v>
      </c>
      <c r="AC76" s="81">
        <f t="shared" si="24"/>
        <v>0</v>
      </c>
      <c r="AD76" s="81">
        <f t="shared" si="24"/>
        <v>0</v>
      </c>
      <c r="AE76" s="81">
        <f t="shared" si="24"/>
        <v>0</v>
      </c>
      <c r="AF76" s="81">
        <f t="shared" si="24"/>
        <v>0</v>
      </c>
      <c r="AG76" s="157"/>
      <c r="AH76" s="157"/>
      <c r="AI76" s="157"/>
      <c r="AJ76" s="157"/>
      <c r="AK76" s="157"/>
      <c r="AL76" s="157"/>
      <c r="AM76" s="157"/>
      <c r="AN76" s="157"/>
      <c r="AO76" s="157"/>
      <c r="AP76" s="157"/>
      <c r="AQ76" s="157"/>
      <c r="AR76" s="85"/>
      <c r="AS76" s="1"/>
      <c r="AT76" s="1"/>
      <c r="AU76" s="1"/>
      <c r="AV76" s="1"/>
      <c r="AW76" s="1"/>
      <c r="AX76" s="1"/>
      <c r="AY76" s="1"/>
      <c r="AZ76" s="1"/>
      <c r="BA76" s="1"/>
      <c r="BB76" s="1"/>
    </row>
    <row r="77" spans="1:54" x14ac:dyDescent="0.25">
      <c r="A77" s="1"/>
      <c r="B77" s="1"/>
      <c r="C77" s="1"/>
      <c r="D77" s="1"/>
      <c r="E77" s="1"/>
      <c r="F77" s="11"/>
      <c r="G77" s="155">
        <v>0</v>
      </c>
      <c r="H77" s="156">
        <v>3</v>
      </c>
      <c r="I77" s="81">
        <f t="shared" si="23"/>
        <v>0</v>
      </c>
      <c r="J77" s="81">
        <f t="shared" si="23"/>
        <v>0</v>
      </c>
      <c r="K77" s="81">
        <f t="shared" si="23"/>
        <v>0</v>
      </c>
      <c r="L77" s="81">
        <f t="shared" si="23"/>
        <v>0</v>
      </c>
      <c r="M77" s="81">
        <f t="shared" si="23"/>
        <v>0</v>
      </c>
      <c r="N77" s="157"/>
      <c r="O77" s="157"/>
      <c r="P77" s="157"/>
      <c r="Q77" s="157"/>
      <c r="R77" s="157"/>
      <c r="S77" s="157"/>
      <c r="T77" s="157"/>
      <c r="U77" s="157"/>
      <c r="V77" s="157"/>
      <c r="W77" s="157"/>
      <c r="X77" s="85"/>
      <c r="Y77" s="1"/>
      <c r="Z77" s="11"/>
      <c r="AA77" s="155">
        <v>0</v>
      </c>
      <c r="AB77" s="156">
        <v>3</v>
      </c>
      <c r="AC77" s="81">
        <f t="shared" si="24"/>
        <v>0</v>
      </c>
      <c r="AD77" s="81">
        <f t="shared" si="24"/>
        <v>0</v>
      </c>
      <c r="AE77" s="81">
        <f t="shared" si="24"/>
        <v>0</v>
      </c>
      <c r="AF77" s="81">
        <f t="shared" si="24"/>
        <v>0</v>
      </c>
      <c r="AG77" s="81">
        <f t="shared" si="24"/>
        <v>0</v>
      </c>
      <c r="AH77" s="157"/>
      <c r="AI77" s="157"/>
      <c r="AJ77" s="157"/>
      <c r="AK77" s="157"/>
      <c r="AL77" s="157"/>
      <c r="AM77" s="157"/>
      <c r="AN77" s="157"/>
      <c r="AO77" s="157"/>
      <c r="AP77" s="157"/>
      <c r="AQ77" s="157"/>
      <c r="AR77" s="85"/>
      <c r="AS77" s="1"/>
      <c r="AT77" s="1"/>
      <c r="AU77" s="1"/>
      <c r="AV77" s="1"/>
      <c r="AW77" s="1"/>
      <c r="AX77" s="1"/>
      <c r="AY77" s="1"/>
      <c r="AZ77" s="1"/>
      <c r="BA77" s="1"/>
      <c r="BB77" s="1"/>
    </row>
    <row r="78" spans="1:54" x14ac:dyDescent="0.25">
      <c r="A78" s="1"/>
      <c r="B78" s="1"/>
      <c r="C78" s="1"/>
      <c r="D78" s="1"/>
      <c r="E78" s="1"/>
      <c r="F78" s="11"/>
      <c r="G78" s="155">
        <v>0</v>
      </c>
      <c r="H78" s="156">
        <v>3.5</v>
      </c>
      <c r="I78" s="81">
        <f t="shared" si="23"/>
        <v>0</v>
      </c>
      <c r="J78" s="81">
        <f t="shared" si="23"/>
        <v>0</v>
      </c>
      <c r="K78" s="81">
        <f t="shared" si="23"/>
        <v>0</v>
      </c>
      <c r="L78" s="81">
        <f t="shared" si="23"/>
        <v>0</v>
      </c>
      <c r="M78" s="81">
        <f t="shared" si="23"/>
        <v>0</v>
      </c>
      <c r="N78" s="81">
        <f t="shared" si="23"/>
        <v>0</v>
      </c>
      <c r="O78" s="157"/>
      <c r="P78" s="157"/>
      <c r="Q78" s="157"/>
      <c r="R78" s="157"/>
      <c r="S78" s="157"/>
      <c r="T78" s="157"/>
      <c r="U78" s="157"/>
      <c r="V78" s="157"/>
      <c r="W78" s="157"/>
      <c r="X78" s="85"/>
      <c r="Y78" s="1"/>
      <c r="Z78" s="11"/>
      <c r="AA78" s="155">
        <v>0</v>
      </c>
      <c r="AB78" s="156">
        <v>3.5</v>
      </c>
      <c r="AC78" s="81">
        <f t="shared" si="24"/>
        <v>0</v>
      </c>
      <c r="AD78" s="81">
        <f t="shared" si="24"/>
        <v>0</v>
      </c>
      <c r="AE78" s="81">
        <f t="shared" si="24"/>
        <v>0</v>
      </c>
      <c r="AF78" s="81">
        <f t="shared" si="24"/>
        <v>0</v>
      </c>
      <c r="AG78" s="81">
        <f t="shared" si="24"/>
        <v>0</v>
      </c>
      <c r="AH78" s="81">
        <f t="shared" si="24"/>
        <v>0</v>
      </c>
      <c r="AI78" s="157"/>
      <c r="AJ78" s="157"/>
      <c r="AK78" s="157"/>
      <c r="AL78" s="157"/>
      <c r="AM78" s="157"/>
      <c r="AN78" s="157"/>
      <c r="AO78" s="157"/>
      <c r="AP78" s="157"/>
      <c r="AQ78" s="157"/>
      <c r="AR78" s="85"/>
      <c r="AS78" s="1"/>
      <c r="AT78" s="1"/>
      <c r="AU78" s="1"/>
      <c r="AV78" s="1"/>
      <c r="AW78" s="1"/>
      <c r="AX78" s="1"/>
      <c r="AY78" s="1"/>
      <c r="AZ78" s="1"/>
      <c r="BA78" s="1"/>
      <c r="BB78" s="1"/>
    </row>
    <row r="79" spans="1:54" x14ac:dyDescent="0.25">
      <c r="A79" s="1"/>
      <c r="B79" s="1"/>
      <c r="C79" s="1"/>
      <c r="D79" s="1"/>
      <c r="E79" s="1"/>
      <c r="F79" s="11"/>
      <c r="G79" s="155">
        <v>0</v>
      </c>
      <c r="H79" s="156">
        <v>4</v>
      </c>
      <c r="I79" s="81">
        <f t="shared" si="23"/>
        <v>0</v>
      </c>
      <c r="J79" s="81">
        <f t="shared" si="23"/>
        <v>0</v>
      </c>
      <c r="K79" s="81">
        <f t="shared" si="23"/>
        <v>0</v>
      </c>
      <c r="L79" s="81">
        <f t="shared" si="23"/>
        <v>0</v>
      </c>
      <c r="M79" s="81">
        <f t="shared" si="23"/>
        <v>0</v>
      </c>
      <c r="N79" s="81">
        <f t="shared" si="23"/>
        <v>0</v>
      </c>
      <c r="O79" s="81">
        <f t="shared" si="23"/>
        <v>0</v>
      </c>
      <c r="P79" s="157"/>
      <c r="Q79" s="157"/>
      <c r="R79" s="157"/>
      <c r="S79" s="157"/>
      <c r="T79" s="157"/>
      <c r="U79" s="157"/>
      <c r="V79" s="157"/>
      <c r="W79" s="157"/>
      <c r="X79" s="85"/>
      <c r="Y79" s="1"/>
      <c r="Z79" s="11"/>
      <c r="AA79" s="155">
        <v>0</v>
      </c>
      <c r="AB79" s="156">
        <v>4</v>
      </c>
      <c r="AC79" s="81">
        <f t="shared" si="24"/>
        <v>0</v>
      </c>
      <c r="AD79" s="81">
        <f t="shared" si="24"/>
        <v>0</v>
      </c>
      <c r="AE79" s="81">
        <f t="shared" si="24"/>
        <v>0</v>
      </c>
      <c r="AF79" s="81">
        <f t="shared" si="24"/>
        <v>0</v>
      </c>
      <c r="AG79" s="81">
        <f t="shared" si="24"/>
        <v>0</v>
      </c>
      <c r="AH79" s="81">
        <f t="shared" si="24"/>
        <v>0</v>
      </c>
      <c r="AI79" s="81">
        <f t="shared" si="24"/>
        <v>0</v>
      </c>
      <c r="AJ79" s="157"/>
      <c r="AK79" s="157"/>
      <c r="AL79" s="157"/>
      <c r="AM79" s="157"/>
      <c r="AN79" s="157"/>
      <c r="AO79" s="157"/>
      <c r="AP79" s="157"/>
      <c r="AQ79" s="157"/>
      <c r="AR79" s="85"/>
      <c r="AS79" s="1"/>
      <c r="AT79" s="1"/>
      <c r="AU79" s="1"/>
      <c r="AV79" s="1"/>
      <c r="AW79" s="1"/>
      <c r="AX79" s="1"/>
      <c r="AY79" s="1"/>
      <c r="AZ79" s="1"/>
      <c r="BA79" s="1"/>
      <c r="BB79" s="1"/>
    </row>
    <row r="80" spans="1:54" x14ac:dyDescent="0.25">
      <c r="A80" s="1"/>
      <c r="B80" s="1"/>
      <c r="C80" s="1"/>
      <c r="D80" s="1"/>
      <c r="E80" s="1"/>
      <c r="F80" s="11"/>
      <c r="G80" s="155">
        <v>0</v>
      </c>
      <c r="H80" s="156">
        <v>4.5</v>
      </c>
      <c r="I80" s="81">
        <f t="shared" si="23"/>
        <v>0</v>
      </c>
      <c r="J80" s="81">
        <f t="shared" si="23"/>
        <v>0</v>
      </c>
      <c r="K80" s="81">
        <f t="shared" si="23"/>
        <v>0</v>
      </c>
      <c r="L80" s="81">
        <f t="shared" si="23"/>
        <v>0</v>
      </c>
      <c r="M80" s="81">
        <f t="shared" si="23"/>
        <v>0</v>
      </c>
      <c r="N80" s="81">
        <f t="shared" si="23"/>
        <v>0</v>
      </c>
      <c r="O80" s="81">
        <f t="shared" si="23"/>
        <v>0</v>
      </c>
      <c r="P80" s="81">
        <f t="shared" si="23"/>
        <v>0</v>
      </c>
      <c r="Q80" s="157"/>
      <c r="R80" s="157"/>
      <c r="S80" s="157"/>
      <c r="T80" s="157"/>
      <c r="U80" s="157"/>
      <c r="V80" s="157"/>
      <c r="W80" s="157"/>
      <c r="X80" s="85"/>
      <c r="Y80" s="1"/>
      <c r="Z80" s="11"/>
      <c r="AA80" s="155">
        <v>0</v>
      </c>
      <c r="AB80" s="156">
        <v>4.5</v>
      </c>
      <c r="AC80" s="81">
        <f t="shared" si="24"/>
        <v>0</v>
      </c>
      <c r="AD80" s="81">
        <f t="shared" si="24"/>
        <v>0</v>
      </c>
      <c r="AE80" s="81">
        <f t="shared" si="24"/>
        <v>0</v>
      </c>
      <c r="AF80" s="81">
        <f t="shared" si="24"/>
        <v>0</v>
      </c>
      <c r="AG80" s="81">
        <f t="shared" si="24"/>
        <v>0</v>
      </c>
      <c r="AH80" s="81">
        <f t="shared" si="24"/>
        <v>0</v>
      </c>
      <c r="AI80" s="81">
        <f t="shared" si="24"/>
        <v>0</v>
      </c>
      <c r="AJ80" s="81">
        <f t="shared" si="24"/>
        <v>0</v>
      </c>
      <c r="AK80" s="157"/>
      <c r="AL80" s="157"/>
      <c r="AM80" s="157"/>
      <c r="AN80" s="157"/>
      <c r="AO80" s="157"/>
      <c r="AP80" s="157"/>
      <c r="AQ80" s="157"/>
      <c r="AR80" s="85"/>
      <c r="AS80" s="1"/>
      <c r="AT80" s="1"/>
      <c r="AU80" s="1"/>
      <c r="AV80" s="1"/>
      <c r="AW80" s="1"/>
      <c r="AX80" s="1"/>
      <c r="AY80" s="1"/>
      <c r="AZ80" s="1"/>
      <c r="BA80" s="1"/>
      <c r="BB80" s="1"/>
    </row>
    <row r="81" spans="1:54" x14ac:dyDescent="0.25">
      <c r="A81" s="1"/>
      <c r="B81" s="1"/>
      <c r="C81" s="1"/>
      <c r="D81" s="1"/>
      <c r="E81" s="1"/>
      <c r="F81" s="11"/>
      <c r="G81" s="155">
        <v>0</v>
      </c>
      <c r="H81" s="156">
        <v>5</v>
      </c>
      <c r="I81" s="81">
        <f t="shared" si="23"/>
        <v>0</v>
      </c>
      <c r="J81" s="81">
        <f t="shared" si="23"/>
        <v>0</v>
      </c>
      <c r="K81" s="81">
        <f t="shared" si="23"/>
        <v>0</v>
      </c>
      <c r="L81" s="81">
        <f t="shared" si="23"/>
        <v>0</v>
      </c>
      <c r="M81" s="81">
        <f t="shared" si="23"/>
        <v>0</v>
      </c>
      <c r="N81" s="81">
        <f t="shared" si="23"/>
        <v>0</v>
      </c>
      <c r="O81" s="81">
        <f t="shared" si="23"/>
        <v>0</v>
      </c>
      <c r="P81" s="81">
        <f t="shared" si="23"/>
        <v>0</v>
      </c>
      <c r="Q81" s="81">
        <f t="shared" si="23"/>
        <v>0</v>
      </c>
      <c r="R81" s="157"/>
      <c r="S81" s="157"/>
      <c r="T81" s="157"/>
      <c r="U81" s="157"/>
      <c r="V81" s="157"/>
      <c r="W81" s="157"/>
      <c r="X81" s="85"/>
      <c r="Y81" s="1"/>
      <c r="Z81" s="11"/>
      <c r="AA81" s="155">
        <v>0</v>
      </c>
      <c r="AB81" s="156">
        <v>5</v>
      </c>
      <c r="AC81" s="81">
        <f t="shared" si="24"/>
        <v>0</v>
      </c>
      <c r="AD81" s="81">
        <f t="shared" si="24"/>
        <v>0</v>
      </c>
      <c r="AE81" s="81">
        <f t="shared" si="24"/>
        <v>0</v>
      </c>
      <c r="AF81" s="81">
        <f t="shared" si="24"/>
        <v>0</v>
      </c>
      <c r="AG81" s="81">
        <f t="shared" si="24"/>
        <v>0</v>
      </c>
      <c r="AH81" s="81">
        <f t="shared" si="24"/>
        <v>0</v>
      </c>
      <c r="AI81" s="81">
        <f t="shared" si="24"/>
        <v>0</v>
      </c>
      <c r="AJ81" s="81">
        <f t="shared" si="24"/>
        <v>0</v>
      </c>
      <c r="AK81" s="81">
        <f t="shared" si="24"/>
        <v>0</v>
      </c>
      <c r="AL81" s="157"/>
      <c r="AM81" s="157"/>
      <c r="AN81" s="157"/>
      <c r="AO81" s="157"/>
      <c r="AP81" s="157"/>
      <c r="AQ81" s="157"/>
      <c r="AR81" s="85"/>
      <c r="AS81" s="1"/>
      <c r="AT81" s="1"/>
      <c r="AU81" s="1"/>
      <c r="AV81" s="1"/>
      <c r="AW81" s="1"/>
      <c r="AX81" s="1"/>
      <c r="AY81" s="1"/>
      <c r="AZ81" s="1"/>
      <c r="BA81" s="1"/>
      <c r="BB81" s="1"/>
    </row>
    <row r="82" spans="1:54" x14ac:dyDescent="0.25">
      <c r="A82" s="1"/>
      <c r="B82" s="1"/>
      <c r="C82" s="1"/>
      <c r="D82" s="1"/>
      <c r="E82" s="1"/>
      <c r="F82" s="11"/>
      <c r="G82" s="155">
        <v>0</v>
      </c>
      <c r="H82" s="156">
        <v>5.5</v>
      </c>
      <c r="I82" s="81">
        <f t="shared" si="23"/>
        <v>0</v>
      </c>
      <c r="J82" s="81">
        <f t="shared" si="23"/>
        <v>0</v>
      </c>
      <c r="K82" s="81">
        <f t="shared" si="23"/>
        <v>0</v>
      </c>
      <c r="L82" s="81">
        <f t="shared" si="23"/>
        <v>0</v>
      </c>
      <c r="M82" s="81">
        <f t="shared" si="23"/>
        <v>0</v>
      </c>
      <c r="N82" s="81">
        <f t="shared" si="23"/>
        <v>0</v>
      </c>
      <c r="O82" s="81">
        <f t="shared" si="23"/>
        <v>0</v>
      </c>
      <c r="P82" s="81">
        <f t="shared" si="23"/>
        <v>0</v>
      </c>
      <c r="Q82" s="81">
        <f t="shared" si="23"/>
        <v>0</v>
      </c>
      <c r="R82" s="81">
        <f t="shared" si="23"/>
        <v>0</v>
      </c>
      <c r="S82" s="157"/>
      <c r="T82" s="157"/>
      <c r="U82" s="157"/>
      <c r="V82" s="157"/>
      <c r="W82" s="157"/>
      <c r="X82" s="85"/>
      <c r="Y82" s="1"/>
      <c r="Z82" s="11"/>
      <c r="AA82" s="155">
        <v>0</v>
      </c>
      <c r="AB82" s="156">
        <v>5.5</v>
      </c>
      <c r="AC82" s="81">
        <f t="shared" si="24"/>
        <v>0</v>
      </c>
      <c r="AD82" s="81">
        <f t="shared" si="24"/>
        <v>0</v>
      </c>
      <c r="AE82" s="81">
        <f t="shared" si="24"/>
        <v>0</v>
      </c>
      <c r="AF82" s="81">
        <f t="shared" si="24"/>
        <v>0</v>
      </c>
      <c r="AG82" s="81">
        <f t="shared" si="24"/>
        <v>0</v>
      </c>
      <c r="AH82" s="81">
        <f t="shared" si="24"/>
        <v>0</v>
      </c>
      <c r="AI82" s="81">
        <f t="shared" si="24"/>
        <v>0</v>
      </c>
      <c r="AJ82" s="81">
        <f t="shared" si="24"/>
        <v>0</v>
      </c>
      <c r="AK82" s="81">
        <f t="shared" si="24"/>
        <v>0</v>
      </c>
      <c r="AL82" s="81">
        <f t="shared" si="24"/>
        <v>0</v>
      </c>
      <c r="AM82" s="157"/>
      <c r="AN82" s="157"/>
      <c r="AO82" s="157"/>
      <c r="AP82" s="157"/>
      <c r="AQ82" s="157"/>
      <c r="AR82" s="85"/>
      <c r="AS82" s="1"/>
      <c r="AT82" s="1"/>
      <c r="AU82" s="1"/>
      <c r="AV82" s="1"/>
      <c r="AW82" s="1"/>
      <c r="AX82" s="1"/>
      <c r="AY82" s="1"/>
      <c r="AZ82" s="1"/>
      <c r="BA82" s="1"/>
      <c r="BB82" s="1"/>
    </row>
    <row r="83" spans="1:54" x14ac:dyDescent="0.25">
      <c r="A83" s="1"/>
      <c r="B83" s="1"/>
      <c r="C83" s="1"/>
      <c r="D83" s="1"/>
      <c r="E83" s="1"/>
      <c r="F83" s="11"/>
      <c r="G83" s="155">
        <v>0</v>
      </c>
      <c r="H83" s="156">
        <v>6</v>
      </c>
      <c r="I83" s="81">
        <f t="shared" si="23"/>
        <v>0</v>
      </c>
      <c r="J83" s="81">
        <f t="shared" si="23"/>
        <v>0</v>
      </c>
      <c r="K83" s="81">
        <f t="shared" si="23"/>
        <v>0</v>
      </c>
      <c r="L83" s="81">
        <f t="shared" si="23"/>
        <v>0</v>
      </c>
      <c r="M83" s="81">
        <f t="shared" si="23"/>
        <v>0</v>
      </c>
      <c r="N83" s="81">
        <f t="shared" si="23"/>
        <v>0</v>
      </c>
      <c r="O83" s="81">
        <f t="shared" si="23"/>
        <v>0</v>
      </c>
      <c r="P83" s="81">
        <f t="shared" si="23"/>
        <v>0</v>
      </c>
      <c r="Q83" s="81">
        <f t="shared" si="23"/>
        <v>0</v>
      </c>
      <c r="R83" s="81">
        <f t="shared" si="23"/>
        <v>0</v>
      </c>
      <c r="S83" s="81">
        <f t="shared" si="23"/>
        <v>0</v>
      </c>
      <c r="T83" s="157"/>
      <c r="U83" s="157"/>
      <c r="V83" s="157"/>
      <c r="W83" s="157"/>
      <c r="X83" s="85"/>
      <c r="Y83" s="1"/>
      <c r="Z83" s="11"/>
      <c r="AA83" s="155">
        <v>0</v>
      </c>
      <c r="AB83" s="156">
        <v>6</v>
      </c>
      <c r="AC83" s="81">
        <f t="shared" si="24"/>
        <v>0</v>
      </c>
      <c r="AD83" s="81">
        <f t="shared" si="24"/>
        <v>0</v>
      </c>
      <c r="AE83" s="81">
        <f t="shared" si="24"/>
        <v>0</v>
      </c>
      <c r="AF83" s="81">
        <f t="shared" si="24"/>
        <v>0</v>
      </c>
      <c r="AG83" s="81">
        <f t="shared" si="24"/>
        <v>0</v>
      </c>
      <c r="AH83" s="81">
        <f t="shared" si="24"/>
        <v>0</v>
      </c>
      <c r="AI83" s="81">
        <f t="shared" si="24"/>
        <v>0</v>
      </c>
      <c r="AJ83" s="81">
        <f t="shared" si="24"/>
        <v>0</v>
      </c>
      <c r="AK83" s="81">
        <f t="shared" si="24"/>
        <v>0</v>
      </c>
      <c r="AL83" s="81">
        <f t="shared" si="24"/>
        <v>0</v>
      </c>
      <c r="AM83" s="81">
        <f t="shared" si="24"/>
        <v>0</v>
      </c>
      <c r="AN83" s="157"/>
      <c r="AO83" s="157"/>
      <c r="AP83" s="157"/>
      <c r="AQ83" s="157"/>
      <c r="AR83" s="85"/>
      <c r="AS83" s="1"/>
      <c r="AT83" s="1"/>
      <c r="AU83" s="1"/>
      <c r="AV83" s="1"/>
      <c r="AW83" s="1"/>
      <c r="AX83" s="1"/>
      <c r="AY83" s="1"/>
      <c r="AZ83" s="1"/>
      <c r="BA83" s="1"/>
      <c r="BB83" s="1"/>
    </row>
    <row r="84" spans="1:54" x14ac:dyDescent="0.25">
      <c r="A84" s="1"/>
      <c r="B84" s="1"/>
      <c r="C84" s="1"/>
      <c r="D84" s="1"/>
      <c r="E84" s="1"/>
      <c r="F84" s="11"/>
      <c r="G84" s="155">
        <v>0</v>
      </c>
      <c r="H84" s="156">
        <v>6.5</v>
      </c>
      <c r="I84" s="81">
        <f t="shared" si="23"/>
        <v>0</v>
      </c>
      <c r="J84" s="81">
        <f t="shared" si="23"/>
        <v>0</v>
      </c>
      <c r="K84" s="81">
        <f t="shared" si="23"/>
        <v>0</v>
      </c>
      <c r="L84" s="81">
        <f t="shared" si="23"/>
        <v>0</v>
      </c>
      <c r="M84" s="81">
        <f t="shared" si="23"/>
        <v>0</v>
      </c>
      <c r="N84" s="81">
        <f t="shared" si="23"/>
        <v>0</v>
      </c>
      <c r="O84" s="81">
        <f t="shared" si="23"/>
        <v>0</v>
      </c>
      <c r="P84" s="81">
        <f t="shared" si="23"/>
        <v>0</v>
      </c>
      <c r="Q84" s="81">
        <f t="shared" si="23"/>
        <v>0</v>
      </c>
      <c r="R84" s="81">
        <f t="shared" si="23"/>
        <v>0</v>
      </c>
      <c r="S84" s="81">
        <f t="shared" si="23"/>
        <v>0</v>
      </c>
      <c r="T84" s="81">
        <f t="shared" si="23"/>
        <v>0</v>
      </c>
      <c r="U84" s="157"/>
      <c r="V84" s="157"/>
      <c r="W84" s="157"/>
      <c r="X84" s="85"/>
      <c r="Y84" s="1"/>
      <c r="Z84" s="11"/>
      <c r="AA84" s="155">
        <v>0</v>
      </c>
      <c r="AB84" s="156">
        <v>6.5</v>
      </c>
      <c r="AC84" s="81">
        <f t="shared" si="24"/>
        <v>0</v>
      </c>
      <c r="AD84" s="81">
        <f t="shared" si="24"/>
        <v>0</v>
      </c>
      <c r="AE84" s="81">
        <f t="shared" si="24"/>
        <v>0</v>
      </c>
      <c r="AF84" s="81">
        <f t="shared" si="24"/>
        <v>0</v>
      </c>
      <c r="AG84" s="81">
        <f t="shared" si="24"/>
        <v>0</v>
      </c>
      <c r="AH84" s="81">
        <f t="shared" si="24"/>
        <v>0</v>
      </c>
      <c r="AI84" s="81">
        <f t="shared" si="24"/>
        <v>0</v>
      </c>
      <c r="AJ84" s="81">
        <f t="shared" si="24"/>
        <v>0</v>
      </c>
      <c r="AK84" s="81">
        <f t="shared" si="24"/>
        <v>0</v>
      </c>
      <c r="AL84" s="81">
        <f t="shared" si="24"/>
        <v>0</v>
      </c>
      <c r="AM84" s="81">
        <f t="shared" si="24"/>
        <v>0</v>
      </c>
      <c r="AN84" s="81">
        <f t="shared" si="24"/>
        <v>0</v>
      </c>
      <c r="AO84" s="157"/>
      <c r="AP84" s="157"/>
      <c r="AQ84" s="157"/>
      <c r="AR84" s="85"/>
      <c r="AS84" s="1"/>
      <c r="AT84" s="1"/>
      <c r="AU84" s="1"/>
      <c r="AV84" s="1"/>
      <c r="AW84" s="1"/>
      <c r="AX84" s="1"/>
      <c r="AY84" s="1"/>
      <c r="AZ84" s="1"/>
      <c r="BA84" s="1"/>
      <c r="BB84" s="1"/>
    </row>
    <row r="85" spans="1:54" x14ac:dyDescent="0.25">
      <c r="A85" s="1"/>
      <c r="B85" s="1"/>
      <c r="C85" s="1"/>
      <c r="D85" s="1"/>
      <c r="E85" s="1"/>
      <c r="F85" s="11"/>
      <c r="G85" s="155">
        <v>0</v>
      </c>
      <c r="H85" s="156">
        <v>7</v>
      </c>
      <c r="I85" s="81">
        <f t="shared" si="23"/>
        <v>0</v>
      </c>
      <c r="J85" s="81">
        <f t="shared" si="23"/>
        <v>0</v>
      </c>
      <c r="K85" s="81">
        <f t="shared" si="23"/>
        <v>0</v>
      </c>
      <c r="L85" s="81">
        <f t="shared" si="23"/>
        <v>0</v>
      </c>
      <c r="M85" s="81">
        <f t="shared" si="23"/>
        <v>0</v>
      </c>
      <c r="N85" s="81">
        <f t="shared" si="23"/>
        <v>0</v>
      </c>
      <c r="O85" s="81">
        <f t="shared" si="23"/>
        <v>0</v>
      </c>
      <c r="P85" s="81">
        <f t="shared" si="23"/>
        <v>0</v>
      </c>
      <c r="Q85" s="81">
        <f t="shared" si="23"/>
        <v>0</v>
      </c>
      <c r="R85" s="81">
        <f t="shared" si="23"/>
        <v>0</v>
      </c>
      <c r="S85" s="81">
        <f t="shared" si="23"/>
        <v>0</v>
      </c>
      <c r="T85" s="81">
        <f t="shared" si="23"/>
        <v>0</v>
      </c>
      <c r="U85" s="81">
        <f t="shared" si="23"/>
        <v>0</v>
      </c>
      <c r="V85" s="157"/>
      <c r="W85" s="157"/>
      <c r="X85" s="85"/>
      <c r="Y85" s="1"/>
      <c r="Z85" s="11"/>
      <c r="AA85" s="155">
        <v>0</v>
      </c>
      <c r="AB85" s="156">
        <v>7</v>
      </c>
      <c r="AC85" s="81">
        <f t="shared" si="24"/>
        <v>0</v>
      </c>
      <c r="AD85" s="81">
        <f t="shared" si="24"/>
        <v>0</v>
      </c>
      <c r="AE85" s="81">
        <f t="shared" si="24"/>
        <v>0</v>
      </c>
      <c r="AF85" s="81">
        <f t="shared" si="24"/>
        <v>0</v>
      </c>
      <c r="AG85" s="81">
        <f t="shared" si="24"/>
        <v>0</v>
      </c>
      <c r="AH85" s="81">
        <f t="shared" si="24"/>
        <v>0</v>
      </c>
      <c r="AI85" s="81">
        <f t="shared" si="24"/>
        <v>0</v>
      </c>
      <c r="AJ85" s="81">
        <f t="shared" si="24"/>
        <v>0</v>
      </c>
      <c r="AK85" s="81">
        <f t="shared" si="24"/>
        <v>0</v>
      </c>
      <c r="AL85" s="81">
        <f t="shared" si="24"/>
        <v>0</v>
      </c>
      <c r="AM85" s="81">
        <f t="shared" si="24"/>
        <v>0</v>
      </c>
      <c r="AN85" s="81">
        <f t="shared" si="24"/>
        <v>0</v>
      </c>
      <c r="AO85" s="81">
        <f t="shared" si="24"/>
        <v>0</v>
      </c>
      <c r="AP85" s="157"/>
      <c r="AQ85" s="157"/>
      <c r="AR85" s="85"/>
      <c r="AS85" s="1"/>
      <c r="AT85" s="1"/>
      <c r="AU85" s="1"/>
      <c r="AV85" s="1"/>
      <c r="AW85" s="1"/>
      <c r="AX85" s="1"/>
      <c r="AY85" s="1"/>
      <c r="AZ85" s="1"/>
      <c r="BA85" s="1"/>
      <c r="BB85" s="1"/>
    </row>
    <row r="86" spans="1:54" x14ac:dyDescent="0.25">
      <c r="A86" s="1"/>
      <c r="B86" s="1"/>
      <c r="C86" s="1"/>
      <c r="D86" s="1"/>
      <c r="E86" s="1"/>
      <c r="F86" s="11"/>
      <c r="G86" s="155">
        <v>0</v>
      </c>
      <c r="H86" s="156">
        <v>7.5</v>
      </c>
      <c r="I86" s="81">
        <f t="shared" si="23"/>
        <v>0</v>
      </c>
      <c r="J86" s="81">
        <f t="shared" si="23"/>
        <v>0</v>
      </c>
      <c r="K86" s="81">
        <f t="shared" si="23"/>
        <v>0</v>
      </c>
      <c r="L86" s="81">
        <f t="shared" si="23"/>
        <v>0</v>
      </c>
      <c r="M86" s="81">
        <f t="shared" si="23"/>
        <v>0</v>
      </c>
      <c r="N86" s="81">
        <f t="shared" si="23"/>
        <v>0</v>
      </c>
      <c r="O86" s="81">
        <f t="shared" si="23"/>
        <v>0</v>
      </c>
      <c r="P86" s="81">
        <f t="shared" si="23"/>
        <v>0</v>
      </c>
      <c r="Q86" s="81">
        <f t="shared" si="23"/>
        <v>0</v>
      </c>
      <c r="R86" s="81">
        <f t="shared" si="23"/>
        <v>0</v>
      </c>
      <c r="S86" s="81">
        <f t="shared" si="23"/>
        <v>0</v>
      </c>
      <c r="T86" s="81">
        <f t="shared" si="23"/>
        <v>0</v>
      </c>
      <c r="U86" s="81">
        <f t="shared" si="23"/>
        <v>0</v>
      </c>
      <c r="V86" s="81">
        <f t="shared" si="23"/>
        <v>0</v>
      </c>
      <c r="W86" s="157"/>
      <c r="X86" s="85"/>
      <c r="Y86" s="1"/>
      <c r="Z86" s="11"/>
      <c r="AA86" s="155">
        <v>0</v>
      </c>
      <c r="AB86" s="156">
        <v>7.5</v>
      </c>
      <c r="AC86" s="81">
        <f t="shared" si="24"/>
        <v>0</v>
      </c>
      <c r="AD86" s="81">
        <f t="shared" si="24"/>
        <v>0</v>
      </c>
      <c r="AE86" s="81">
        <f t="shared" si="24"/>
        <v>0</v>
      </c>
      <c r="AF86" s="81">
        <f t="shared" si="24"/>
        <v>0</v>
      </c>
      <c r="AG86" s="81">
        <f t="shared" si="24"/>
        <v>0</v>
      </c>
      <c r="AH86" s="81">
        <f t="shared" si="24"/>
        <v>0</v>
      </c>
      <c r="AI86" s="81">
        <f t="shared" si="24"/>
        <v>0</v>
      </c>
      <c r="AJ86" s="81">
        <f t="shared" si="24"/>
        <v>0</v>
      </c>
      <c r="AK86" s="81">
        <f t="shared" si="24"/>
        <v>0</v>
      </c>
      <c r="AL86" s="81">
        <f t="shared" si="24"/>
        <v>0</v>
      </c>
      <c r="AM86" s="81">
        <f t="shared" si="24"/>
        <v>0</v>
      </c>
      <c r="AN86" s="81">
        <f t="shared" si="24"/>
        <v>0</v>
      </c>
      <c r="AO86" s="81">
        <f t="shared" si="24"/>
        <v>0</v>
      </c>
      <c r="AP86" s="81">
        <f t="shared" si="24"/>
        <v>0</v>
      </c>
      <c r="AQ86" s="157"/>
      <c r="AR86" s="85"/>
      <c r="AS86" s="1"/>
      <c r="AT86" s="1"/>
      <c r="AU86" s="1"/>
      <c r="AV86" s="1"/>
      <c r="AW86" s="1"/>
      <c r="AX86" s="1"/>
      <c r="AY86" s="1"/>
      <c r="AZ86" s="1"/>
      <c r="BA86" s="1"/>
      <c r="BB86" s="1"/>
    </row>
    <row r="87" spans="1:54" ht="15.75" thickBot="1" x14ac:dyDescent="0.3">
      <c r="A87" s="1"/>
      <c r="B87" s="1"/>
      <c r="C87" s="1"/>
      <c r="D87" s="1"/>
      <c r="E87" s="1"/>
      <c r="F87" s="13"/>
      <c r="G87" s="80">
        <v>0</v>
      </c>
      <c r="H87" s="56">
        <v>8</v>
      </c>
      <c r="I87" s="82">
        <f t="shared" si="23"/>
        <v>0</v>
      </c>
      <c r="J87" s="82">
        <f t="shared" si="23"/>
        <v>0</v>
      </c>
      <c r="K87" s="82">
        <f t="shared" si="23"/>
        <v>0</v>
      </c>
      <c r="L87" s="82">
        <f t="shared" si="23"/>
        <v>0</v>
      </c>
      <c r="M87" s="82">
        <f t="shared" si="23"/>
        <v>0</v>
      </c>
      <c r="N87" s="82">
        <f t="shared" si="23"/>
        <v>0</v>
      </c>
      <c r="O87" s="82">
        <f t="shared" si="23"/>
        <v>0</v>
      </c>
      <c r="P87" s="82">
        <f t="shared" si="23"/>
        <v>0</v>
      </c>
      <c r="Q87" s="82">
        <f t="shared" si="23"/>
        <v>0</v>
      </c>
      <c r="R87" s="82">
        <f t="shared" si="23"/>
        <v>0</v>
      </c>
      <c r="S87" s="82">
        <f t="shared" si="23"/>
        <v>0</v>
      </c>
      <c r="T87" s="82">
        <f t="shared" si="23"/>
        <v>0</v>
      </c>
      <c r="U87" s="82">
        <f t="shared" si="23"/>
        <v>0</v>
      </c>
      <c r="V87" s="82">
        <f t="shared" si="23"/>
        <v>0</v>
      </c>
      <c r="W87" s="82">
        <f t="shared" si="23"/>
        <v>0</v>
      </c>
      <c r="X87" s="86"/>
      <c r="Y87" s="1"/>
      <c r="Z87" s="13"/>
      <c r="AA87" s="80">
        <v>0</v>
      </c>
      <c r="AB87" s="56">
        <v>8</v>
      </c>
      <c r="AC87" s="82">
        <f t="shared" si="24"/>
        <v>0</v>
      </c>
      <c r="AD87" s="82">
        <f t="shared" si="24"/>
        <v>0</v>
      </c>
      <c r="AE87" s="82">
        <f t="shared" si="24"/>
        <v>0</v>
      </c>
      <c r="AF87" s="82">
        <f t="shared" si="24"/>
        <v>0</v>
      </c>
      <c r="AG87" s="82">
        <f t="shared" si="24"/>
        <v>0</v>
      </c>
      <c r="AH87" s="82">
        <f t="shared" si="24"/>
        <v>0</v>
      </c>
      <c r="AI87" s="82">
        <f t="shared" si="24"/>
        <v>0</v>
      </c>
      <c r="AJ87" s="82">
        <f t="shared" si="24"/>
        <v>0</v>
      </c>
      <c r="AK87" s="82">
        <f t="shared" si="24"/>
        <v>0</v>
      </c>
      <c r="AL87" s="82">
        <f t="shared" si="24"/>
        <v>0</v>
      </c>
      <c r="AM87" s="82">
        <f t="shared" si="24"/>
        <v>0</v>
      </c>
      <c r="AN87" s="82">
        <f t="shared" si="24"/>
        <v>0</v>
      </c>
      <c r="AO87" s="82">
        <f t="shared" si="24"/>
        <v>0</v>
      </c>
      <c r="AP87" s="82">
        <f t="shared" si="24"/>
        <v>0</v>
      </c>
      <c r="AQ87" s="82">
        <f t="shared" si="24"/>
        <v>0</v>
      </c>
      <c r="AR87" s="86"/>
      <c r="AS87" s="1"/>
      <c r="AT87" s="1"/>
      <c r="AU87" s="1"/>
      <c r="AV87" s="1"/>
      <c r="AW87" s="1"/>
      <c r="AX87" s="1"/>
      <c r="AY87" s="1"/>
      <c r="AZ87" s="1"/>
      <c r="BA87" s="1"/>
      <c r="BB87" s="1"/>
    </row>
    <row r="88" spans="1:54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</row>
    <row r="89" spans="1:54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</row>
    <row r="90" spans="1:54" x14ac:dyDescent="0.25">
      <c r="A90" s="1"/>
      <c r="B90" s="1"/>
      <c r="C90" s="1"/>
      <c r="D90" s="1"/>
      <c r="E90" s="1"/>
      <c r="F90" s="128" t="s">
        <v>202</v>
      </c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</row>
    <row r="91" spans="1:54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</row>
    <row r="92" spans="1:54" x14ac:dyDescent="0.25">
      <c r="A92" s="1"/>
      <c r="B92" s="1"/>
      <c r="C92" s="1"/>
      <c r="D92" s="1"/>
      <c r="E92" s="1"/>
      <c r="F92" s="1" t="s">
        <v>203</v>
      </c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</row>
    <row r="93" spans="1:54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</row>
    <row r="94" spans="1:54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</row>
    <row r="95" spans="1:54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</row>
    <row r="96" spans="1:54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</row>
    <row r="97" spans="1:54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</row>
    <row r="98" spans="1:54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</row>
    <row r="99" spans="1:54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</row>
    <row r="100" spans="1:54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</row>
    <row r="101" spans="1:54" x14ac:dyDescent="0.2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</row>
    <row r="102" spans="1:54" x14ac:dyDescent="0.2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</row>
    <row r="103" spans="1:54" x14ac:dyDescent="0.2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</row>
    <row r="104" spans="1:54" x14ac:dyDescent="0.2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</row>
    <row r="105" spans="1:54" x14ac:dyDescent="0.2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</row>
    <row r="106" spans="1:54" x14ac:dyDescent="0.25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</row>
    <row r="107" spans="1:54" x14ac:dyDescent="0.2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</row>
    <row r="108" spans="1:54" x14ac:dyDescent="0.2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</row>
    <row r="109" spans="1:54" x14ac:dyDescent="0.2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</row>
    <row r="110" spans="1:54" x14ac:dyDescent="0.2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</row>
    <row r="111" spans="1:54" x14ac:dyDescent="0.2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</row>
    <row r="112" spans="1:54" x14ac:dyDescent="0.2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</row>
    <row r="113" spans="1:54" x14ac:dyDescent="0.2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</row>
    <row r="114" spans="1:54" x14ac:dyDescent="0.2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</row>
    <row r="115" spans="1:54" x14ac:dyDescent="0.25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</row>
    <row r="116" spans="1:54" x14ac:dyDescent="0.2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</row>
    <row r="117" spans="1:54" x14ac:dyDescent="0.2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</row>
    <row r="118" spans="1:54" x14ac:dyDescent="0.25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</row>
    <row r="119" spans="1:54" x14ac:dyDescent="0.2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</row>
    <row r="120" spans="1:54" x14ac:dyDescent="0.2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</row>
    <row r="121" spans="1:54" x14ac:dyDescent="0.2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</row>
    <row r="122" spans="1:54" x14ac:dyDescent="0.25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</row>
    <row r="123" spans="1:54" x14ac:dyDescent="0.25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</row>
    <row r="124" spans="1:54" x14ac:dyDescent="0.2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</row>
    <row r="125" spans="1:54" x14ac:dyDescent="0.2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</row>
    <row r="126" spans="1:54" x14ac:dyDescent="0.2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</row>
    <row r="127" spans="1:54" x14ac:dyDescent="0.2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</row>
    <row r="128" spans="1:54" x14ac:dyDescent="0.2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</row>
    <row r="129" spans="1:54" x14ac:dyDescent="0.2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</row>
    <row r="130" spans="1:54" x14ac:dyDescent="0.2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</row>
    <row r="131" spans="1:54" x14ac:dyDescent="0.2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</row>
    <row r="132" spans="1:54" x14ac:dyDescent="0.2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</row>
    <row r="133" spans="1:54" x14ac:dyDescent="0.2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</row>
    <row r="134" spans="1:54" x14ac:dyDescent="0.2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</row>
    <row r="135" spans="1:54" x14ac:dyDescent="0.2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</row>
    <row r="136" spans="1:54" x14ac:dyDescent="0.2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</row>
    <row r="137" spans="1:54" x14ac:dyDescent="0.2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</row>
    <row r="138" spans="1:54" x14ac:dyDescent="0.2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</row>
    <row r="139" spans="1:54" x14ac:dyDescent="0.2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</row>
    <row r="140" spans="1:54" x14ac:dyDescent="0.2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</row>
    <row r="141" spans="1:54" x14ac:dyDescent="0.2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</row>
    <row r="142" spans="1:54" x14ac:dyDescent="0.2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</row>
    <row r="143" spans="1:54" x14ac:dyDescent="0.2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</row>
    <row r="144" spans="1:54" x14ac:dyDescent="0.2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</row>
    <row r="145" spans="1:54" x14ac:dyDescent="0.2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</row>
    <row r="146" spans="1:54" x14ac:dyDescent="0.2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</row>
    <row r="147" spans="1:54" x14ac:dyDescent="0.25">
      <c r="A147" s="1"/>
      <c r="B147" s="1"/>
      <c r="C147" s="1"/>
      <c r="D147" s="1"/>
      <c r="E147" s="1"/>
    </row>
    <row r="148" spans="1:54" x14ac:dyDescent="0.25">
      <c r="A148" s="1"/>
      <c r="B148" s="1"/>
      <c r="C148" s="1"/>
      <c r="D148" s="1"/>
      <c r="E148" s="1"/>
    </row>
    <row r="149" spans="1:54" x14ac:dyDescent="0.25">
      <c r="A149" s="1"/>
      <c r="B149" s="1"/>
      <c r="C149" s="1"/>
      <c r="D149" s="1"/>
      <c r="E149" s="1"/>
    </row>
    <row r="150" spans="1:54" x14ac:dyDescent="0.25">
      <c r="A150" s="1"/>
      <c r="B150" s="1"/>
      <c r="C150" s="1"/>
      <c r="D150" s="1"/>
      <c r="E150" s="1"/>
    </row>
  </sheetData>
  <mergeCells count="5">
    <mergeCell ref="B2:D2"/>
    <mergeCell ref="B4:G4"/>
    <mergeCell ref="B16:G16"/>
    <mergeCell ref="B36:G36"/>
    <mergeCell ref="H45:J45"/>
  </mergeCells>
  <conditionalFormatting sqref="H9:W9">
    <cfRule type="expression" dxfId="18" priority="7">
      <formula>H7&gt;$D$10</formula>
    </cfRule>
  </conditionalFormatting>
  <conditionalFormatting sqref="H87 X87 AB87 AR87">
    <cfRule type="expression" dxfId="5" priority="6">
      <formula>AND(#REF!=$D$14+$D$9, I$17=$D$13+$D$9)</formula>
    </cfRule>
  </conditionalFormatting>
  <conditionalFormatting sqref="H42:W42">
    <cfRule type="expression" dxfId="4" priority="4">
      <formula>H40&lt;=$D$10</formula>
    </cfRule>
    <cfRule type="expression" dxfId="3" priority="5">
      <formula>H40&gt;$D$10</formula>
    </cfRule>
  </conditionalFormatting>
  <conditionalFormatting sqref="H46:W46">
    <cfRule type="expression" dxfId="2" priority="2">
      <formula>H40&gt;$D$10</formula>
    </cfRule>
    <cfRule type="expression" dxfId="1" priority="3">
      <formula>H40&gt;$D$10</formula>
    </cfRule>
  </conditionalFormatting>
  <conditionalFormatting sqref="H71:X73 AB71:AR73 H74:H86 AB74:AB86 H50:X66 I74:I87 J74:X86 J87:W87 AB50:AR66 AC74:AC87 AD74:AR86 AD87:AQ87">
    <cfRule type="expression" dxfId="0" priority="1">
      <formula>AND($H51=$D$14+$D$9, I$17=$D$13+$D$9)</formula>
    </cfRule>
  </conditionalFormatting>
  <dataValidations count="2">
    <dataValidation type="list" allowBlank="1" showInputMessage="1" showErrorMessage="1" sqref="D8 D20 D41" xr:uid="{112A16B4-7C58-457E-ADDA-041887944BF0}">
      <formula1>"1,2,4,Continuous"</formula1>
    </dataValidation>
    <dataValidation type="list" allowBlank="1" showInputMessage="1" showErrorMessage="1" sqref="G68" xr:uid="{DB8F7909-9C4B-40CC-BA54-DDDAB0FB98BD}">
      <formula1>"1,2,4,Cont"</formula1>
    </dataValidation>
  </dataValidations>
  <hyperlinks>
    <hyperlink ref="H45" location="'Rate and discount'!B27" display="'Rate and discount'!B27" xr:uid="{FF92D098-BAF1-444E-AFB9-B032088F1366}"/>
  </hyperlinks>
  <pageMargins left="0.7" right="0.7" top="0.75" bottom="0.75" header="0.3" footer="0.3"/>
  <pageSetup paperSize="9" orientation="portrait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895C7-A9BF-44FA-842E-0C0A09FB5205}">
  <sheetPr codeName="Sheet8"/>
  <dimension ref="A1:BA472"/>
  <sheetViews>
    <sheetView topLeftCell="A15" zoomScaleNormal="100" workbookViewId="0">
      <selection activeCell="B20" sqref="B20"/>
    </sheetView>
  </sheetViews>
  <sheetFormatPr defaultRowHeight="15" x14ac:dyDescent="0.25"/>
  <cols>
    <col min="2" max="2" width="19.5703125" bestFit="1" customWidth="1"/>
    <col min="6" max="6" width="16.42578125" customWidth="1"/>
  </cols>
  <sheetData>
    <row r="1" spans="1:53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</row>
    <row r="2" spans="1:53" ht="20.25" thickBot="1" x14ac:dyDescent="0.35">
      <c r="A2" s="1"/>
      <c r="B2" s="153" t="s">
        <v>155</v>
      </c>
      <c r="C2" s="153"/>
      <c r="D2" s="153"/>
      <c r="E2" s="153"/>
      <c r="F2" s="153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</row>
    <row r="3" spans="1:53" ht="15.75" thickTop="1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</row>
    <row r="4" spans="1:53" ht="18" thickBot="1" x14ac:dyDescent="0.35">
      <c r="A4" s="1"/>
      <c r="B4" s="147" t="s">
        <v>173</v>
      </c>
      <c r="C4" s="147"/>
      <c r="D4" s="147"/>
      <c r="E4" s="147"/>
      <c r="F4" s="147"/>
      <c r="G4" s="147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</row>
    <row r="5" spans="1:53" ht="15.75" thickTop="1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</row>
    <row r="6" spans="1:53" ht="15.75" thickBot="1" x14ac:dyDescent="0.3">
      <c r="A6" s="1"/>
      <c r="B6" s="1" t="s">
        <v>3</v>
      </c>
      <c r="C6" s="1"/>
      <c r="D6" s="1"/>
      <c r="E6" s="1"/>
      <c r="F6" s="1" t="s">
        <v>15</v>
      </c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</row>
    <row r="7" spans="1:53" x14ac:dyDescent="0.25">
      <c r="A7" s="1"/>
      <c r="B7" s="8" t="s">
        <v>19</v>
      </c>
      <c r="C7" s="9" t="s">
        <v>5</v>
      </c>
      <c r="D7" s="21">
        <v>200000</v>
      </c>
      <c r="E7" s="1"/>
      <c r="F7" s="8" t="s">
        <v>21</v>
      </c>
      <c r="G7" s="9">
        <v>0</v>
      </c>
      <c r="H7" s="9">
        <v>1</v>
      </c>
      <c r="I7" s="9">
        <v>2</v>
      </c>
      <c r="J7" s="9">
        <v>3</v>
      </c>
      <c r="K7" s="9">
        <v>4</v>
      </c>
      <c r="L7" s="9">
        <v>5</v>
      </c>
      <c r="M7" s="9">
        <v>6</v>
      </c>
      <c r="N7" s="9">
        <v>7</v>
      </c>
      <c r="O7" s="9">
        <v>8</v>
      </c>
      <c r="P7" s="9">
        <v>9</v>
      </c>
      <c r="Q7" s="9">
        <v>10</v>
      </c>
      <c r="R7" s="9">
        <v>11</v>
      </c>
      <c r="S7" s="9">
        <v>12</v>
      </c>
      <c r="T7" s="9">
        <v>13</v>
      </c>
      <c r="U7" s="9">
        <v>14</v>
      </c>
      <c r="V7" s="9">
        <v>15</v>
      </c>
      <c r="W7" s="10">
        <v>16</v>
      </c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</row>
    <row r="8" spans="1:53" x14ac:dyDescent="0.25">
      <c r="A8" s="1"/>
      <c r="B8" s="11" t="s">
        <v>8</v>
      </c>
      <c r="C8" s="1" t="s">
        <v>9</v>
      </c>
      <c r="D8" s="23">
        <v>2</v>
      </c>
      <c r="E8" s="1"/>
      <c r="F8" s="11" t="s">
        <v>22</v>
      </c>
      <c r="G8" s="1"/>
      <c r="H8" s="1" cm="1">
        <f t="array" ref="H8">IF(TYPE($D$9)=1, $D$9*H7, Cont)</f>
        <v>0.5</v>
      </c>
      <c r="I8" s="1" cm="1">
        <f t="array" ref="I8">IF(TYPE($D$9)=1, $D$9*I7, Cont)</f>
        <v>1</v>
      </c>
      <c r="J8" s="1" cm="1">
        <f t="array" ref="J8">IF(TYPE($D$9)=1, $D$9*J7, Cont)</f>
        <v>1.5</v>
      </c>
      <c r="K8" s="1" cm="1">
        <f t="array" ref="K8">IF(TYPE($D$9)=1, $D$9*K7, Cont)</f>
        <v>2</v>
      </c>
      <c r="L8" s="1" cm="1">
        <f t="array" ref="L8">IF(TYPE($D$9)=1, $D$9*L7, Cont)</f>
        <v>2.5</v>
      </c>
      <c r="M8" s="1" cm="1">
        <f t="array" ref="M8">IF(TYPE($D$9)=1, $D$9*M7, Cont)</f>
        <v>3</v>
      </c>
      <c r="N8" s="1" cm="1">
        <f t="array" ref="N8">IF(TYPE($D$9)=1, $D$9*N7, Cont)</f>
        <v>3.5</v>
      </c>
      <c r="O8" s="1" cm="1">
        <f t="array" ref="O8">IF(TYPE($D$9)=1, $D$9*O7, Cont)</f>
        <v>4</v>
      </c>
      <c r="P8" s="1" cm="1">
        <f t="array" ref="P8">IF(TYPE($D$9)=1, $D$9*P7, Cont)</f>
        <v>4.5</v>
      </c>
      <c r="Q8" s="1" cm="1">
        <f t="array" ref="Q8">IF(TYPE($D$9)=1, $D$9*Q7, Cont)</f>
        <v>5</v>
      </c>
      <c r="R8" s="1" cm="1">
        <f t="array" ref="R8">IF(TYPE($D$9)=1, $D$9*R7, Cont)</f>
        <v>5.5</v>
      </c>
      <c r="S8" s="1" cm="1">
        <f t="array" ref="S8">IF(TYPE($D$9)=1, $D$9*S7, Cont)</f>
        <v>6</v>
      </c>
      <c r="T8" s="1" cm="1">
        <f t="array" ref="T8">IF(TYPE($D$9)=1, $D$9*T7, Cont)</f>
        <v>6.5</v>
      </c>
      <c r="U8" s="1" cm="1">
        <f t="array" ref="U8">IF(TYPE($D$9)=1, $D$9*U7, Cont)</f>
        <v>7</v>
      </c>
      <c r="V8" s="1" cm="1">
        <f t="array" ref="V8">IF(TYPE($D$9)=1, $D$9*V7, Cont)</f>
        <v>7.5</v>
      </c>
      <c r="W8" s="12" cm="1">
        <f t="array" ref="W8">IF(TYPE($D$9)=1, $D$9*W7, Cont)</f>
        <v>8</v>
      </c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</row>
    <row r="9" spans="1:53" ht="15.75" thickBot="1" x14ac:dyDescent="0.3">
      <c r="A9" s="1"/>
      <c r="B9" s="11" t="s">
        <v>20</v>
      </c>
      <c r="C9" s="15" t="s">
        <v>11</v>
      </c>
      <c r="D9" s="54">
        <f>1/D8</f>
        <v>0.5</v>
      </c>
      <c r="E9" s="1"/>
      <c r="F9" s="13" t="s">
        <v>91</v>
      </c>
      <c r="G9" s="72">
        <v>1</v>
      </c>
      <c r="H9" s="70">
        <v>0.97870000000000001</v>
      </c>
      <c r="I9" s="70">
        <v>0.95709999999999995</v>
      </c>
      <c r="J9" s="70">
        <v>0.93610000000000004</v>
      </c>
      <c r="K9" s="70"/>
      <c r="L9" s="70"/>
      <c r="M9" s="70"/>
      <c r="N9" s="70"/>
      <c r="O9" s="70"/>
      <c r="P9" s="70"/>
      <c r="Q9" s="70"/>
      <c r="R9" s="70"/>
      <c r="S9" s="70"/>
      <c r="T9" s="70"/>
      <c r="U9" s="70"/>
      <c r="V9" s="70"/>
      <c r="W9" s="7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</row>
    <row r="10" spans="1:53" x14ac:dyDescent="0.25">
      <c r="A10" s="1"/>
      <c r="B10" s="11" t="s">
        <v>156</v>
      </c>
      <c r="C10" s="1"/>
      <c r="D10" s="129">
        <v>6.6000000000000003E-2</v>
      </c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</row>
    <row r="11" spans="1:53" x14ac:dyDescent="0.25">
      <c r="A11" s="1"/>
      <c r="B11" s="11" t="s">
        <v>157</v>
      </c>
      <c r="C11" s="1" t="s">
        <v>161</v>
      </c>
      <c r="D11" s="129">
        <v>4.5999999999999999E-2</v>
      </c>
      <c r="E11" s="1"/>
      <c r="F11" s="1" t="s">
        <v>99</v>
      </c>
      <c r="G11" s="1"/>
      <c r="H11" s="18">
        <v>0</v>
      </c>
      <c r="I11" s="1" t="s">
        <v>14</v>
      </c>
      <c r="J11" s="27" t="s">
        <v>158</v>
      </c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</row>
    <row r="12" spans="1:53" ht="15.75" thickBot="1" x14ac:dyDescent="0.3">
      <c r="A12" s="1"/>
      <c r="B12" s="11" t="s">
        <v>61</v>
      </c>
      <c r="C12" s="1"/>
      <c r="D12" s="24">
        <v>3</v>
      </c>
      <c r="E12" s="1"/>
      <c r="F12" s="1" t="s">
        <v>104</v>
      </c>
      <c r="G12" s="1"/>
      <c r="H12" s="154" t="s">
        <v>100</v>
      </c>
      <c r="I12" s="154"/>
      <c r="J12" s="154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</row>
    <row r="13" spans="1:53" ht="15.75" thickBot="1" x14ac:dyDescent="0.3">
      <c r="A13" s="1"/>
      <c r="B13" s="13" t="s">
        <v>190</v>
      </c>
      <c r="C13" s="14"/>
      <c r="D13" s="25">
        <v>2</v>
      </c>
      <c r="E13" s="1"/>
      <c r="F13" s="43" t="s">
        <v>64</v>
      </c>
      <c r="G13" s="121">
        <v>1</v>
      </c>
      <c r="H13" s="121">
        <f>IF(H9&gt;0, ($H$11/360/$D$9)*G9+(($D$9-($H$11/360))/$D$9)*H9, 0)</f>
        <v>0.97870000000000001</v>
      </c>
      <c r="I13" s="121">
        <f t="shared" ref="I13:W13" si="0">IF(I9&gt;0, ($H$11/360/$D$9)*H9+(($D$9-($H$11/360))/$D$9)*I9, 0)</f>
        <v>0.95709999999999995</v>
      </c>
      <c r="J13" s="121">
        <f t="shared" si="0"/>
        <v>0.93610000000000004</v>
      </c>
      <c r="K13" s="121">
        <f t="shared" si="0"/>
        <v>0</v>
      </c>
      <c r="L13" s="120">
        <f t="shared" si="0"/>
        <v>0</v>
      </c>
      <c r="M13" s="120">
        <f t="shared" si="0"/>
        <v>0</v>
      </c>
      <c r="N13" s="120">
        <f t="shared" si="0"/>
        <v>0</v>
      </c>
      <c r="O13" s="120">
        <f t="shared" si="0"/>
        <v>0</v>
      </c>
      <c r="P13" s="120">
        <f t="shared" si="0"/>
        <v>0</v>
      </c>
      <c r="Q13" s="120">
        <f t="shared" si="0"/>
        <v>0</v>
      </c>
      <c r="R13" s="120">
        <f t="shared" si="0"/>
        <v>0</v>
      </c>
      <c r="S13" s="120">
        <f t="shared" si="0"/>
        <v>0</v>
      </c>
      <c r="T13" s="120">
        <f t="shared" si="0"/>
        <v>0</v>
      </c>
      <c r="U13" s="120">
        <f t="shared" si="0"/>
        <v>0</v>
      </c>
      <c r="V13" s="120">
        <f t="shared" si="0"/>
        <v>0</v>
      </c>
      <c r="W13" s="120">
        <f t="shared" si="0"/>
        <v>0</v>
      </c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</row>
    <row r="14" spans="1:53" x14ac:dyDescent="0.25">
      <c r="A14" s="1"/>
      <c r="B14" s="1"/>
      <c r="C14" s="1"/>
      <c r="D14" s="1"/>
      <c r="E14" s="1"/>
      <c r="F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</row>
    <row r="15" spans="1:53" ht="15.75" thickBot="1" x14ac:dyDescent="0.3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</row>
    <row r="16" spans="1:53" x14ac:dyDescent="0.25">
      <c r="A16" s="1"/>
      <c r="B16" s="8" t="s">
        <v>103</v>
      </c>
      <c r="C16" s="9"/>
      <c r="D16" s="138" t="s">
        <v>191</v>
      </c>
      <c r="E16" s="1"/>
      <c r="F16" s="89" t="s">
        <v>92</v>
      </c>
      <c r="G16" s="9" t="s">
        <v>93</v>
      </c>
      <c r="H16" s="78">
        <v>1</v>
      </c>
      <c r="I16" s="78" cm="1">
        <f t="array" ref="I16:X16">H9:W9</f>
        <v>0.97870000000000001</v>
      </c>
      <c r="J16" s="78">
        <v>0.95709999999999995</v>
      </c>
      <c r="K16" s="78">
        <v>0.93610000000000004</v>
      </c>
      <c r="L16" s="78">
        <v>0</v>
      </c>
      <c r="M16" s="78">
        <v>0</v>
      </c>
      <c r="N16" s="78">
        <v>0</v>
      </c>
      <c r="O16" s="78">
        <v>0</v>
      </c>
      <c r="P16" s="78">
        <v>0</v>
      </c>
      <c r="Q16" s="78">
        <v>0</v>
      </c>
      <c r="R16" s="78">
        <v>0</v>
      </c>
      <c r="S16" s="78">
        <v>0</v>
      </c>
      <c r="T16" s="78">
        <v>0</v>
      </c>
      <c r="U16" s="78">
        <v>0</v>
      </c>
      <c r="V16" s="78">
        <v>0</v>
      </c>
      <c r="W16" s="78">
        <v>0</v>
      </c>
      <c r="X16" s="79">
        <v>0</v>
      </c>
      <c r="Y16" s="1"/>
      <c r="Z16" s="89" t="s">
        <v>101</v>
      </c>
      <c r="AA16" s="9" t="s">
        <v>93</v>
      </c>
      <c r="AB16" s="78">
        <v>1</v>
      </c>
      <c r="AC16" s="78">
        <f>H13</f>
        <v>0.97870000000000001</v>
      </c>
      <c r="AD16" s="78">
        <f t="shared" ref="AD16:AR16" si="1">I13</f>
        <v>0.95709999999999995</v>
      </c>
      <c r="AE16" s="78">
        <f t="shared" si="1"/>
        <v>0.93610000000000004</v>
      </c>
      <c r="AF16" s="78">
        <f t="shared" si="1"/>
        <v>0</v>
      </c>
      <c r="AG16" s="78">
        <f t="shared" si="1"/>
        <v>0</v>
      </c>
      <c r="AH16" s="78">
        <f t="shared" si="1"/>
        <v>0</v>
      </c>
      <c r="AI16" s="78">
        <f t="shared" si="1"/>
        <v>0</v>
      </c>
      <c r="AJ16" s="78">
        <f t="shared" si="1"/>
        <v>0</v>
      </c>
      <c r="AK16" s="78">
        <f t="shared" si="1"/>
        <v>0</v>
      </c>
      <c r="AL16" s="78">
        <f t="shared" si="1"/>
        <v>0</v>
      </c>
      <c r="AM16" s="78">
        <f t="shared" si="1"/>
        <v>0</v>
      </c>
      <c r="AN16" s="78">
        <f t="shared" si="1"/>
        <v>0</v>
      </c>
      <c r="AO16" s="78">
        <f t="shared" si="1"/>
        <v>0</v>
      </c>
      <c r="AP16" s="78">
        <f t="shared" si="1"/>
        <v>0</v>
      </c>
      <c r="AQ16" s="78">
        <f t="shared" si="1"/>
        <v>0</v>
      </c>
      <c r="AR16" s="79">
        <f t="shared" si="1"/>
        <v>0</v>
      </c>
      <c r="AS16" s="1"/>
      <c r="AT16" s="1"/>
      <c r="AU16" s="1"/>
      <c r="AV16" s="1"/>
      <c r="AW16" s="1"/>
      <c r="AX16" s="1"/>
      <c r="AY16" s="1"/>
      <c r="AZ16" s="1"/>
      <c r="BA16" s="1"/>
    </row>
    <row r="17" spans="1:53" x14ac:dyDescent="0.25">
      <c r="A17" s="1"/>
      <c r="B17" s="11" t="s">
        <v>188</v>
      </c>
      <c r="C17" s="1"/>
      <c r="D17" s="24">
        <v>1</v>
      </c>
      <c r="E17" s="1"/>
      <c r="F17" s="5" t="s">
        <v>94</v>
      </c>
      <c r="G17" s="77">
        <v>1</v>
      </c>
      <c r="H17" s="53">
        <f t="shared" ref="H17:X17" si="2">G8</f>
        <v>0</v>
      </c>
      <c r="I17" s="53">
        <f t="shared" si="2"/>
        <v>0.5</v>
      </c>
      <c r="J17" s="53">
        <f t="shared" si="2"/>
        <v>1</v>
      </c>
      <c r="K17" s="53">
        <f t="shared" si="2"/>
        <v>1.5</v>
      </c>
      <c r="L17" s="53">
        <f t="shared" si="2"/>
        <v>2</v>
      </c>
      <c r="M17" s="53">
        <f t="shared" si="2"/>
        <v>2.5</v>
      </c>
      <c r="N17" s="53">
        <f t="shared" si="2"/>
        <v>3</v>
      </c>
      <c r="O17" s="53">
        <f t="shared" si="2"/>
        <v>3.5</v>
      </c>
      <c r="P17" s="53">
        <f t="shared" si="2"/>
        <v>4</v>
      </c>
      <c r="Q17" s="53">
        <f t="shared" si="2"/>
        <v>4.5</v>
      </c>
      <c r="R17" s="53">
        <f t="shared" si="2"/>
        <v>5</v>
      </c>
      <c r="S17" s="53">
        <f t="shared" si="2"/>
        <v>5.5</v>
      </c>
      <c r="T17" s="53">
        <f t="shared" si="2"/>
        <v>6</v>
      </c>
      <c r="U17" s="53">
        <f t="shared" si="2"/>
        <v>6.5</v>
      </c>
      <c r="V17" s="53">
        <f t="shared" si="2"/>
        <v>7</v>
      </c>
      <c r="W17" s="53">
        <f t="shared" si="2"/>
        <v>7.5</v>
      </c>
      <c r="X17" s="54">
        <f t="shared" si="2"/>
        <v>8</v>
      </c>
      <c r="Y17" s="1"/>
      <c r="Z17" s="5" t="s">
        <v>94</v>
      </c>
      <c r="AA17" s="77">
        <v>1</v>
      </c>
      <c r="AB17" s="53">
        <f>AA8</f>
        <v>0</v>
      </c>
      <c r="AC17" s="53">
        <f>H8</f>
        <v>0.5</v>
      </c>
      <c r="AD17" s="53">
        <f t="shared" ref="AD17:AR17" si="3">I8</f>
        <v>1</v>
      </c>
      <c r="AE17" s="53">
        <f t="shared" si="3"/>
        <v>1.5</v>
      </c>
      <c r="AF17" s="53">
        <f t="shared" si="3"/>
        <v>2</v>
      </c>
      <c r="AG17" s="53">
        <f t="shared" si="3"/>
        <v>2.5</v>
      </c>
      <c r="AH17" s="53">
        <f t="shared" si="3"/>
        <v>3</v>
      </c>
      <c r="AI17" s="53">
        <f t="shared" si="3"/>
        <v>3.5</v>
      </c>
      <c r="AJ17" s="53">
        <f t="shared" si="3"/>
        <v>4</v>
      </c>
      <c r="AK17" s="53">
        <f t="shared" si="3"/>
        <v>4.5</v>
      </c>
      <c r="AL17" s="53">
        <f t="shared" si="3"/>
        <v>5</v>
      </c>
      <c r="AM17" s="53">
        <f t="shared" si="3"/>
        <v>5.5</v>
      </c>
      <c r="AN17" s="53">
        <f t="shared" si="3"/>
        <v>6</v>
      </c>
      <c r="AO17" s="53">
        <f t="shared" si="3"/>
        <v>6.5</v>
      </c>
      <c r="AP17" s="53">
        <f t="shared" si="3"/>
        <v>7</v>
      </c>
      <c r="AQ17" s="53">
        <f t="shared" si="3"/>
        <v>7.5</v>
      </c>
      <c r="AR17" s="54">
        <f t="shared" si="3"/>
        <v>8</v>
      </c>
      <c r="AS17" s="1"/>
      <c r="AT17" s="1"/>
      <c r="AU17" s="1"/>
      <c r="AV17" s="1"/>
      <c r="AW17" s="1"/>
      <c r="AX17" s="1"/>
      <c r="AY17" s="1"/>
      <c r="AZ17" s="1"/>
      <c r="BA17" s="1"/>
    </row>
    <row r="18" spans="1:53" ht="15.75" thickBot="1" x14ac:dyDescent="0.3">
      <c r="A18" s="1"/>
      <c r="B18" s="13" t="s">
        <v>189</v>
      </c>
      <c r="C18" s="14"/>
      <c r="D18" s="132">
        <f>D17+D9*(D13-1)</f>
        <v>1.5</v>
      </c>
      <c r="E18" s="1"/>
      <c r="F18" s="11"/>
      <c r="G18" s="77">
        <f t="array" ref="G18:G33">TRANSPOSE(H9:W9)</f>
        <v>0.97870000000000001</v>
      </c>
      <c r="H18" s="53">
        <f t="array" ref="H18:H33">TRANSPOSE($I$17:$X$17)</f>
        <v>0.5</v>
      </c>
      <c r="I18" s="83"/>
      <c r="J18" s="87"/>
      <c r="K18" s="87"/>
      <c r="L18" s="87"/>
      <c r="M18" s="87"/>
      <c r="N18" s="87"/>
      <c r="O18" s="87"/>
      <c r="P18" s="87"/>
      <c r="Q18" s="87"/>
      <c r="R18" s="87"/>
      <c r="S18" s="87"/>
      <c r="T18" s="87"/>
      <c r="U18" s="87"/>
      <c r="V18" s="87"/>
      <c r="W18" s="87"/>
      <c r="X18" s="88"/>
      <c r="Y18" s="1"/>
      <c r="Z18" s="11"/>
      <c r="AA18" s="77">
        <f t="array" ref="AA18:AA33">TRANSPOSE(H13:W13)</f>
        <v>0.97870000000000001</v>
      </c>
      <c r="AB18" s="53">
        <f t="array" ref="AB18:AB33">TRANSPOSE($I$17:$X$17)</f>
        <v>0.5</v>
      </c>
      <c r="AC18" s="83"/>
      <c r="AD18" s="87"/>
      <c r="AE18" s="87"/>
      <c r="AF18" s="87"/>
      <c r="AG18" s="87"/>
      <c r="AH18" s="87"/>
      <c r="AI18" s="87"/>
      <c r="AJ18" s="87"/>
      <c r="AK18" s="87"/>
      <c r="AL18" s="87"/>
      <c r="AM18" s="87"/>
      <c r="AN18" s="87"/>
      <c r="AO18" s="87"/>
      <c r="AP18" s="87"/>
      <c r="AQ18" s="87"/>
      <c r="AR18" s="88"/>
      <c r="AS18" s="1"/>
      <c r="AT18" s="1"/>
      <c r="AU18" s="1"/>
      <c r="AV18" s="1"/>
      <c r="AW18" s="1"/>
      <c r="AX18" s="1"/>
      <c r="AY18" s="1"/>
      <c r="AZ18" s="1"/>
      <c r="BA18" s="1"/>
    </row>
    <row r="19" spans="1:53" x14ac:dyDescent="0.25">
      <c r="A19" s="1"/>
      <c r="B19" s="1"/>
      <c r="C19" s="1"/>
      <c r="D19" s="1"/>
      <c r="E19" s="1"/>
      <c r="F19" s="5"/>
      <c r="G19" s="77">
        <v>0.95709999999999995</v>
      </c>
      <c r="H19" s="53">
        <v>1</v>
      </c>
      <c r="I19" s="81">
        <f>IF(G19&gt;0, G19/$I$16, 0)</f>
        <v>0.97792990701951565</v>
      </c>
      <c r="J19" s="84"/>
      <c r="K19" s="84"/>
      <c r="L19" s="84"/>
      <c r="M19" s="84"/>
      <c r="N19" s="84"/>
      <c r="O19" s="84"/>
      <c r="P19" s="84"/>
      <c r="Q19" s="84"/>
      <c r="R19" s="84"/>
      <c r="S19" s="84"/>
      <c r="T19" s="84"/>
      <c r="U19" s="84"/>
      <c r="V19" s="84"/>
      <c r="W19" s="84"/>
      <c r="X19" s="85"/>
      <c r="Y19" s="1"/>
      <c r="Z19" s="5"/>
      <c r="AA19" s="77">
        <v>0.95709999999999995</v>
      </c>
      <c r="AB19" s="53">
        <v>1</v>
      </c>
      <c r="AC19" s="81">
        <f>IF($AA19&gt;0, $AA19/AC$16, 0)</f>
        <v>0.97792990701951565</v>
      </c>
      <c r="AD19" s="84"/>
      <c r="AE19" s="84"/>
      <c r="AF19" s="84"/>
      <c r="AG19" s="84"/>
      <c r="AH19" s="84"/>
      <c r="AI19" s="84"/>
      <c r="AJ19" s="84"/>
      <c r="AK19" s="84"/>
      <c r="AL19" s="84"/>
      <c r="AM19" s="84"/>
      <c r="AN19" s="84"/>
      <c r="AO19" s="84"/>
      <c r="AP19" s="84"/>
      <c r="AQ19" s="84"/>
      <c r="AR19" s="85"/>
      <c r="AS19" s="1"/>
      <c r="AT19" s="1"/>
      <c r="AU19" s="1"/>
      <c r="AV19" s="1"/>
      <c r="AW19" s="1"/>
      <c r="AX19" s="1"/>
      <c r="AY19" s="1"/>
      <c r="AZ19" s="1"/>
      <c r="BA19" s="1"/>
    </row>
    <row r="20" spans="1:53" x14ac:dyDescent="0.25">
      <c r="A20" s="1"/>
      <c r="B20" s="1"/>
      <c r="C20" s="1"/>
      <c r="D20" s="1"/>
      <c r="E20" s="1"/>
      <c r="F20" s="11"/>
      <c r="G20" s="77">
        <v>0.93610000000000004</v>
      </c>
      <c r="H20" s="53">
        <v>1.5</v>
      </c>
      <c r="I20" s="81">
        <f t="shared" ref="I20:I33" si="4">IF(G20&gt;0, G20/$I$16, 0)</f>
        <v>0.9564728721773782</v>
      </c>
      <c r="J20" s="1">
        <f>IF(G20&gt;0, G20/$J$16, 0)</f>
        <v>0.97805871904712161</v>
      </c>
      <c r="K20" s="84"/>
      <c r="L20" s="84"/>
      <c r="M20" s="84"/>
      <c r="N20" s="84"/>
      <c r="O20" s="84"/>
      <c r="P20" s="84"/>
      <c r="Q20" s="84"/>
      <c r="R20" s="84"/>
      <c r="S20" s="84"/>
      <c r="T20" s="84"/>
      <c r="U20" s="84"/>
      <c r="V20" s="84"/>
      <c r="W20" s="84"/>
      <c r="X20" s="85"/>
      <c r="Y20" s="1"/>
      <c r="Z20" s="11"/>
      <c r="AA20" s="77">
        <v>0.93610000000000004</v>
      </c>
      <c r="AB20" s="53">
        <v>1.5</v>
      </c>
      <c r="AC20" s="81">
        <f t="shared" ref="AC20:AQ33" si="5">IF($AA20&gt;0, $AA20/AC$16, 0)</f>
        <v>0.9564728721773782</v>
      </c>
      <c r="AD20" s="81">
        <f t="shared" si="5"/>
        <v>0.97805871904712161</v>
      </c>
      <c r="AE20" s="84"/>
      <c r="AF20" s="84"/>
      <c r="AG20" s="84"/>
      <c r="AH20" s="84"/>
      <c r="AI20" s="84"/>
      <c r="AJ20" s="84"/>
      <c r="AK20" s="84"/>
      <c r="AL20" s="84"/>
      <c r="AM20" s="84"/>
      <c r="AN20" s="84"/>
      <c r="AO20" s="84"/>
      <c r="AP20" s="84"/>
      <c r="AQ20" s="84"/>
      <c r="AR20" s="85"/>
      <c r="AS20" s="1"/>
      <c r="AT20" s="1"/>
      <c r="AU20" s="1"/>
      <c r="AV20" s="1"/>
      <c r="AW20" s="1"/>
      <c r="AX20" s="1"/>
      <c r="AY20" s="1"/>
      <c r="AZ20" s="1"/>
      <c r="BA20" s="1"/>
    </row>
    <row r="21" spans="1:53" x14ac:dyDescent="0.25">
      <c r="A21" s="1"/>
      <c r="B21" s="1"/>
      <c r="C21" s="1"/>
      <c r="D21" s="1"/>
      <c r="E21" s="1"/>
      <c r="F21" s="11"/>
      <c r="G21" s="77">
        <v>0</v>
      </c>
      <c r="H21" s="53">
        <v>2</v>
      </c>
      <c r="I21" s="81">
        <f t="shared" si="4"/>
        <v>0</v>
      </c>
      <c r="J21" s="1">
        <f t="shared" ref="J21:J33" si="6">IF(G21&gt;0, G21/$J$16, 0)</f>
        <v>0</v>
      </c>
      <c r="K21" s="1">
        <f>IF(G21&gt;0, G21/$K$16, 0)</f>
        <v>0</v>
      </c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5"/>
      <c r="Y21" s="1"/>
      <c r="Z21" s="11"/>
      <c r="AA21" s="77">
        <v>0</v>
      </c>
      <c r="AB21" s="53">
        <v>2</v>
      </c>
      <c r="AC21" s="81">
        <f t="shared" si="5"/>
        <v>0</v>
      </c>
      <c r="AD21" s="81">
        <f t="shared" si="5"/>
        <v>0</v>
      </c>
      <c r="AE21" s="81">
        <f t="shared" si="5"/>
        <v>0</v>
      </c>
      <c r="AF21" s="84"/>
      <c r="AG21" s="84"/>
      <c r="AH21" s="84"/>
      <c r="AI21" s="84"/>
      <c r="AJ21" s="84"/>
      <c r="AK21" s="84"/>
      <c r="AL21" s="84"/>
      <c r="AM21" s="84"/>
      <c r="AN21" s="84"/>
      <c r="AO21" s="84"/>
      <c r="AP21" s="84"/>
      <c r="AQ21" s="84"/>
      <c r="AR21" s="85"/>
      <c r="AS21" s="1"/>
      <c r="AT21" s="1"/>
      <c r="AU21" s="1"/>
      <c r="AV21" s="1"/>
      <c r="AW21" s="1"/>
      <c r="AX21" s="1"/>
      <c r="AY21" s="1"/>
      <c r="AZ21" s="1"/>
      <c r="BA21" s="1"/>
    </row>
    <row r="22" spans="1:53" x14ac:dyDescent="0.25">
      <c r="A22" s="1"/>
      <c r="B22" s="1"/>
      <c r="C22" s="1"/>
      <c r="D22" s="1"/>
      <c r="E22" s="1"/>
      <c r="F22" s="11"/>
      <c r="G22" s="77">
        <v>0</v>
      </c>
      <c r="H22" s="53">
        <v>2.5</v>
      </c>
      <c r="I22" s="81">
        <f t="shared" si="4"/>
        <v>0</v>
      </c>
      <c r="J22" s="1">
        <f t="shared" si="6"/>
        <v>0</v>
      </c>
      <c r="K22" s="1">
        <f t="shared" ref="K22:K33" si="7">IF(G22&gt;0, G22/$K$16, 0)</f>
        <v>0</v>
      </c>
      <c r="L22" s="1">
        <f>IF(G22&gt;0, G22/$L$16, 0)</f>
        <v>0</v>
      </c>
      <c r="M22" s="84"/>
      <c r="N22" s="84"/>
      <c r="O22" s="84"/>
      <c r="P22" s="84"/>
      <c r="Q22" s="84"/>
      <c r="R22" s="84"/>
      <c r="S22" s="84"/>
      <c r="T22" s="84"/>
      <c r="U22" s="84"/>
      <c r="V22" s="84"/>
      <c r="W22" s="84"/>
      <c r="X22" s="85"/>
      <c r="Y22" s="1"/>
      <c r="Z22" s="11"/>
      <c r="AA22" s="77">
        <v>0</v>
      </c>
      <c r="AB22" s="53">
        <v>2.5</v>
      </c>
      <c r="AC22" s="81">
        <f t="shared" si="5"/>
        <v>0</v>
      </c>
      <c r="AD22" s="81">
        <f t="shared" si="5"/>
        <v>0</v>
      </c>
      <c r="AE22" s="81">
        <f t="shared" si="5"/>
        <v>0</v>
      </c>
      <c r="AF22" s="81">
        <f t="shared" si="5"/>
        <v>0</v>
      </c>
      <c r="AG22" s="84"/>
      <c r="AH22" s="84"/>
      <c r="AI22" s="84"/>
      <c r="AJ22" s="84"/>
      <c r="AK22" s="84"/>
      <c r="AL22" s="84"/>
      <c r="AM22" s="84"/>
      <c r="AN22" s="84"/>
      <c r="AO22" s="84"/>
      <c r="AP22" s="84"/>
      <c r="AQ22" s="84"/>
      <c r="AR22" s="85"/>
      <c r="AS22" s="1"/>
      <c r="AT22" s="1"/>
      <c r="AU22" s="1"/>
      <c r="AV22" s="1"/>
      <c r="AW22" s="1"/>
      <c r="AX22" s="1"/>
      <c r="AY22" s="1"/>
      <c r="AZ22" s="1"/>
      <c r="BA22" s="1"/>
    </row>
    <row r="23" spans="1:53" x14ac:dyDescent="0.25">
      <c r="A23" s="1"/>
      <c r="B23" s="1"/>
      <c r="C23" s="1"/>
      <c r="D23" s="1"/>
      <c r="E23" s="1"/>
      <c r="F23" s="11"/>
      <c r="G23" s="77">
        <v>0</v>
      </c>
      <c r="H23" s="53">
        <v>3</v>
      </c>
      <c r="I23" s="81">
        <f t="shared" si="4"/>
        <v>0</v>
      </c>
      <c r="J23" s="1">
        <f t="shared" si="6"/>
        <v>0</v>
      </c>
      <c r="K23" s="1">
        <f t="shared" si="7"/>
        <v>0</v>
      </c>
      <c r="L23" s="1">
        <f t="shared" ref="L23:L33" si="8">IF(G23&gt;0, G23/$L$16, 0)</f>
        <v>0</v>
      </c>
      <c r="M23" s="1">
        <f>IF(G23&gt;0, G23/$M$16, 0)</f>
        <v>0</v>
      </c>
      <c r="N23" s="84"/>
      <c r="O23" s="84"/>
      <c r="P23" s="84"/>
      <c r="Q23" s="84"/>
      <c r="R23" s="84"/>
      <c r="S23" s="84"/>
      <c r="T23" s="84"/>
      <c r="U23" s="84"/>
      <c r="V23" s="84"/>
      <c r="W23" s="84"/>
      <c r="X23" s="85"/>
      <c r="Y23" s="1"/>
      <c r="Z23" s="11"/>
      <c r="AA23" s="77">
        <v>0</v>
      </c>
      <c r="AB23" s="53">
        <v>3</v>
      </c>
      <c r="AC23" s="81">
        <f t="shared" si="5"/>
        <v>0</v>
      </c>
      <c r="AD23" s="81">
        <f t="shared" si="5"/>
        <v>0</v>
      </c>
      <c r="AE23" s="81">
        <f t="shared" si="5"/>
        <v>0</v>
      </c>
      <c r="AF23" s="81">
        <f t="shared" si="5"/>
        <v>0</v>
      </c>
      <c r="AG23" s="81">
        <f t="shared" si="5"/>
        <v>0</v>
      </c>
      <c r="AH23" s="84"/>
      <c r="AI23" s="84"/>
      <c r="AJ23" s="84"/>
      <c r="AK23" s="84"/>
      <c r="AL23" s="84"/>
      <c r="AM23" s="84"/>
      <c r="AN23" s="84"/>
      <c r="AO23" s="84"/>
      <c r="AP23" s="84"/>
      <c r="AQ23" s="84"/>
      <c r="AR23" s="85"/>
      <c r="AS23" s="1"/>
      <c r="AT23" s="1"/>
      <c r="AU23" s="1"/>
      <c r="AV23" s="1"/>
      <c r="AW23" s="1"/>
      <c r="AX23" s="1"/>
      <c r="AY23" s="1"/>
      <c r="AZ23" s="1"/>
      <c r="BA23" s="1"/>
    </row>
    <row r="24" spans="1:53" x14ac:dyDescent="0.25">
      <c r="A24" s="1"/>
      <c r="B24" s="1"/>
      <c r="C24" s="1"/>
      <c r="D24" s="1"/>
      <c r="E24" s="1"/>
      <c r="F24" s="11"/>
      <c r="G24" s="77">
        <v>0</v>
      </c>
      <c r="H24" s="53">
        <v>3.5</v>
      </c>
      <c r="I24" s="81">
        <f t="shared" si="4"/>
        <v>0</v>
      </c>
      <c r="J24" s="1">
        <f t="shared" si="6"/>
        <v>0</v>
      </c>
      <c r="K24" s="1">
        <f t="shared" si="7"/>
        <v>0</v>
      </c>
      <c r="L24" s="1">
        <f t="shared" si="8"/>
        <v>0</v>
      </c>
      <c r="M24" s="1">
        <f t="shared" ref="M24:M33" si="9">IF(G24&gt;0, G24/$M$16, 0)</f>
        <v>0</v>
      </c>
      <c r="N24" s="1">
        <f>IF(G24&gt;0, G24/$N$16, 0)</f>
        <v>0</v>
      </c>
      <c r="O24" s="84"/>
      <c r="P24" s="84"/>
      <c r="Q24" s="84"/>
      <c r="R24" s="84"/>
      <c r="S24" s="84"/>
      <c r="T24" s="84"/>
      <c r="U24" s="84"/>
      <c r="V24" s="84"/>
      <c r="W24" s="84"/>
      <c r="X24" s="85"/>
      <c r="Y24" s="1"/>
      <c r="Z24" s="11"/>
      <c r="AA24" s="77">
        <v>0</v>
      </c>
      <c r="AB24" s="53">
        <v>3.5</v>
      </c>
      <c r="AC24" s="81">
        <f t="shared" si="5"/>
        <v>0</v>
      </c>
      <c r="AD24" s="81">
        <f t="shared" si="5"/>
        <v>0</v>
      </c>
      <c r="AE24" s="81">
        <f t="shared" si="5"/>
        <v>0</v>
      </c>
      <c r="AF24" s="81">
        <f t="shared" si="5"/>
        <v>0</v>
      </c>
      <c r="AG24" s="81">
        <f t="shared" si="5"/>
        <v>0</v>
      </c>
      <c r="AH24" s="81">
        <f t="shared" si="5"/>
        <v>0</v>
      </c>
      <c r="AI24" s="84"/>
      <c r="AJ24" s="84"/>
      <c r="AK24" s="84"/>
      <c r="AL24" s="84"/>
      <c r="AM24" s="84"/>
      <c r="AN24" s="84"/>
      <c r="AO24" s="84"/>
      <c r="AP24" s="84"/>
      <c r="AQ24" s="84"/>
      <c r="AR24" s="85"/>
      <c r="AS24" s="1"/>
      <c r="AT24" s="1"/>
      <c r="AU24" s="1"/>
      <c r="AV24" s="1"/>
      <c r="AW24" s="1"/>
      <c r="AX24" s="1"/>
      <c r="AY24" s="1"/>
      <c r="AZ24" s="1"/>
      <c r="BA24" s="1"/>
    </row>
    <row r="25" spans="1:53" x14ac:dyDescent="0.25">
      <c r="A25" s="1"/>
      <c r="B25" s="1"/>
      <c r="C25" s="1"/>
      <c r="D25" s="1"/>
      <c r="E25" s="1"/>
      <c r="F25" s="11"/>
      <c r="G25" s="77">
        <v>0</v>
      </c>
      <c r="H25" s="53">
        <v>4</v>
      </c>
      <c r="I25" s="81">
        <f t="shared" si="4"/>
        <v>0</v>
      </c>
      <c r="J25" s="1">
        <f t="shared" si="6"/>
        <v>0</v>
      </c>
      <c r="K25" s="1">
        <f t="shared" si="7"/>
        <v>0</v>
      </c>
      <c r="L25" s="1">
        <f t="shared" si="8"/>
        <v>0</v>
      </c>
      <c r="M25" s="1">
        <f t="shared" si="9"/>
        <v>0</v>
      </c>
      <c r="N25" s="1">
        <f t="shared" ref="N25:N33" si="10">IF(G25&gt;0, G25/$N$16, 0)</f>
        <v>0</v>
      </c>
      <c r="O25" s="1">
        <f>IF(G25&gt;0, G25/$O$16, 0)</f>
        <v>0</v>
      </c>
      <c r="P25" s="84"/>
      <c r="Q25" s="84"/>
      <c r="R25" s="84"/>
      <c r="S25" s="84"/>
      <c r="T25" s="84"/>
      <c r="U25" s="84"/>
      <c r="V25" s="84"/>
      <c r="W25" s="84"/>
      <c r="X25" s="85"/>
      <c r="Y25" s="1"/>
      <c r="Z25" s="11"/>
      <c r="AA25" s="77">
        <v>0</v>
      </c>
      <c r="AB25" s="53">
        <v>4</v>
      </c>
      <c r="AC25" s="81">
        <f t="shared" si="5"/>
        <v>0</v>
      </c>
      <c r="AD25" s="81">
        <f t="shared" si="5"/>
        <v>0</v>
      </c>
      <c r="AE25" s="81">
        <f t="shared" si="5"/>
        <v>0</v>
      </c>
      <c r="AF25" s="81">
        <f t="shared" si="5"/>
        <v>0</v>
      </c>
      <c r="AG25" s="81">
        <f t="shared" si="5"/>
        <v>0</v>
      </c>
      <c r="AH25" s="81">
        <f t="shared" si="5"/>
        <v>0</v>
      </c>
      <c r="AI25" s="81">
        <f t="shared" si="5"/>
        <v>0</v>
      </c>
      <c r="AJ25" s="84"/>
      <c r="AK25" s="84"/>
      <c r="AL25" s="84"/>
      <c r="AM25" s="84"/>
      <c r="AN25" s="84"/>
      <c r="AO25" s="84"/>
      <c r="AP25" s="84"/>
      <c r="AQ25" s="84"/>
      <c r="AR25" s="85"/>
      <c r="AS25" s="1"/>
      <c r="AT25" s="1"/>
      <c r="AU25" s="1"/>
      <c r="AV25" s="1"/>
      <c r="AW25" s="1"/>
      <c r="AX25" s="1"/>
      <c r="AY25" s="1"/>
      <c r="AZ25" s="1"/>
      <c r="BA25" s="1"/>
    </row>
    <row r="26" spans="1:53" x14ac:dyDescent="0.25">
      <c r="A26" s="1"/>
      <c r="B26" s="1"/>
      <c r="C26" s="1"/>
      <c r="D26" s="1"/>
      <c r="E26" s="1"/>
      <c r="F26" s="11"/>
      <c r="G26" s="77">
        <v>0</v>
      </c>
      <c r="H26" s="53">
        <v>4.5</v>
      </c>
      <c r="I26" s="81">
        <f t="shared" si="4"/>
        <v>0</v>
      </c>
      <c r="J26" s="1">
        <f t="shared" si="6"/>
        <v>0</v>
      </c>
      <c r="K26" s="1">
        <f t="shared" si="7"/>
        <v>0</v>
      </c>
      <c r="L26" s="1">
        <f t="shared" si="8"/>
        <v>0</v>
      </c>
      <c r="M26" s="1">
        <f t="shared" si="9"/>
        <v>0</v>
      </c>
      <c r="N26" s="1">
        <f t="shared" si="10"/>
        <v>0</v>
      </c>
      <c r="O26" s="1">
        <f t="shared" ref="O26:O33" si="11">IF(G26&gt;0, G26/$O$16, 0)</f>
        <v>0</v>
      </c>
      <c r="P26" s="1">
        <f>IF(G26&gt;0, G26/$P$16, 0)</f>
        <v>0</v>
      </c>
      <c r="Q26" s="84"/>
      <c r="R26" s="84"/>
      <c r="S26" s="84"/>
      <c r="T26" s="84"/>
      <c r="U26" s="84"/>
      <c r="V26" s="84"/>
      <c r="W26" s="84"/>
      <c r="X26" s="85"/>
      <c r="Y26" s="1"/>
      <c r="Z26" s="11"/>
      <c r="AA26" s="77">
        <v>0</v>
      </c>
      <c r="AB26" s="53">
        <v>4.5</v>
      </c>
      <c r="AC26" s="81">
        <f t="shared" si="5"/>
        <v>0</v>
      </c>
      <c r="AD26" s="81">
        <f t="shared" si="5"/>
        <v>0</v>
      </c>
      <c r="AE26" s="81">
        <f t="shared" si="5"/>
        <v>0</v>
      </c>
      <c r="AF26" s="81">
        <f t="shared" si="5"/>
        <v>0</v>
      </c>
      <c r="AG26" s="81">
        <f t="shared" si="5"/>
        <v>0</v>
      </c>
      <c r="AH26" s="81">
        <f t="shared" si="5"/>
        <v>0</v>
      </c>
      <c r="AI26" s="81">
        <f t="shared" si="5"/>
        <v>0</v>
      </c>
      <c r="AJ26" s="81">
        <f t="shared" si="5"/>
        <v>0</v>
      </c>
      <c r="AK26" s="84"/>
      <c r="AL26" s="84"/>
      <c r="AM26" s="84"/>
      <c r="AN26" s="84"/>
      <c r="AO26" s="84"/>
      <c r="AP26" s="84"/>
      <c r="AQ26" s="84"/>
      <c r="AR26" s="85"/>
      <c r="AS26" s="1"/>
      <c r="AT26" s="1"/>
      <c r="AU26" s="1"/>
      <c r="AV26" s="1"/>
      <c r="AW26" s="1"/>
      <c r="AX26" s="1"/>
      <c r="AY26" s="1"/>
      <c r="AZ26" s="1"/>
      <c r="BA26" s="1"/>
    </row>
    <row r="27" spans="1:53" x14ac:dyDescent="0.25">
      <c r="A27" s="1"/>
      <c r="B27" s="1"/>
      <c r="C27" s="1"/>
      <c r="D27" s="1"/>
      <c r="E27" s="1"/>
      <c r="F27" s="11"/>
      <c r="G27" s="77">
        <v>0</v>
      </c>
      <c r="H27" s="53">
        <v>5</v>
      </c>
      <c r="I27" s="81">
        <f t="shared" si="4"/>
        <v>0</v>
      </c>
      <c r="J27" s="1">
        <f t="shared" si="6"/>
        <v>0</v>
      </c>
      <c r="K27" s="1">
        <f t="shared" si="7"/>
        <v>0</v>
      </c>
      <c r="L27" s="1">
        <f t="shared" si="8"/>
        <v>0</v>
      </c>
      <c r="M27" s="1">
        <f t="shared" si="9"/>
        <v>0</v>
      </c>
      <c r="N27" s="1">
        <f t="shared" si="10"/>
        <v>0</v>
      </c>
      <c r="O27" s="1">
        <f t="shared" si="11"/>
        <v>0</v>
      </c>
      <c r="P27" s="1">
        <f t="shared" ref="P27:P33" si="12">IF(G27&gt;0, G27/$P$16, 0)</f>
        <v>0</v>
      </c>
      <c r="Q27" s="1">
        <f>IF(G27&gt;0, G27/$Q$16, 0)</f>
        <v>0</v>
      </c>
      <c r="R27" s="84"/>
      <c r="S27" s="84"/>
      <c r="T27" s="84"/>
      <c r="U27" s="84"/>
      <c r="V27" s="84"/>
      <c r="W27" s="84"/>
      <c r="X27" s="85"/>
      <c r="Y27" s="1"/>
      <c r="Z27" s="11"/>
      <c r="AA27" s="77">
        <v>0</v>
      </c>
      <c r="AB27" s="53">
        <v>5</v>
      </c>
      <c r="AC27" s="81">
        <f t="shared" si="5"/>
        <v>0</v>
      </c>
      <c r="AD27" s="81">
        <f t="shared" si="5"/>
        <v>0</v>
      </c>
      <c r="AE27" s="81">
        <f t="shared" si="5"/>
        <v>0</v>
      </c>
      <c r="AF27" s="81">
        <f t="shared" si="5"/>
        <v>0</v>
      </c>
      <c r="AG27" s="81">
        <f t="shared" si="5"/>
        <v>0</v>
      </c>
      <c r="AH27" s="81">
        <f t="shared" si="5"/>
        <v>0</v>
      </c>
      <c r="AI27" s="81">
        <f t="shared" si="5"/>
        <v>0</v>
      </c>
      <c r="AJ27" s="81">
        <f t="shared" si="5"/>
        <v>0</v>
      </c>
      <c r="AK27" s="81">
        <f t="shared" si="5"/>
        <v>0</v>
      </c>
      <c r="AL27" s="84"/>
      <c r="AM27" s="84"/>
      <c r="AN27" s="84"/>
      <c r="AO27" s="84"/>
      <c r="AP27" s="84"/>
      <c r="AQ27" s="84"/>
      <c r="AR27" s="85"/>
      <c r="AS27" s="1"/>
      <c r="AT27" s="1"/>
      <c r="AU27" s="1"/>
      <c r="AV27" s="1"/>
      <c r="AW27" s="1"/>
      <c r="AX27" s="1"/>
      <c r="AY27" s="1"/>
      <c r="AZ27" s="1"/>
      <c r="BA27" s="1"/>
    </row>
    <row r="28" spans="1:53" x14ac:dyDescent="0.25">
      <c r="A28" s="1"/>
      <c r="B28" s="1"/>
      <c r="C28" s="1"/>
      <c r="D28" s="1"/>
      <c r="E28" s="1"/>
      <c r="F28" s="11"/>
      <c r="G28" s="77">
        <v>0</v>
      </c>
      <c r="H28" s="53">
        <v>5.5</v>
      </c>
      <c r="I28" s="81">
        <f t="shared" si="4"/>
        <v>0</v>
      </c>
      <c r="J28" s="1">
        <f t="shared" si="6"/>
        <v>0</v>
      </c>
      <c r="K28" s="1">
        <f t="shared" si="7"/>
        <v>0</v>
      </c>
      <c r="L28" s="1">
        <f t="shared" si="8"/>
        <v>0</v>
      </c>
      <c r="M28" s="1">
        <f t="shared" si="9"/>
        <v>0</v>
      </c>
      <c r="N28" s="1">
        <f t="shared" si="10"/>
        <v>0</v>
      </c>
      <c r="O28" s="1">
        <f t="shared" si="11"/>
        <v>0</v>
      </c>
      <c r="P28" s="1">
        <f t="shared" si="12"/>
        <v>0</v>
      </c>
      <c r="Q28" s="1">
        <f t="shared" ref="Q28:Q33" si="13">IF(G28&gt;0, G28/$Q$16, 0)</f>
        <v>0</v>
      </c>
      <c r="R28" s="1">
        <f>IF(G28&gt;0, G28/$R$16, 0)</f>
        <v>0</v>
      </c>
      <c r="S28" s="84"/>
      <c r="T28" s="84"/>
      <c r="U28" s="84"/>
      <c r="V28" s="84"/>
      <c r="W28" s="84"/>
      <c r="X28" s="85"/>
      <c r="Y28" s="1"/>
      <c r="Z28" s="11"/>
      <c r="AA28" s="77">
        <v>0</v>
      </c>
      <c r="AB28" s="53">
        <v>5.5</v>
      </c>
      <c r="AC28" s="81">
        <f t="shared" si="5"/>
        <v>0</v>
      </c>
      <c r="AD28" s="81">
        <f t="shared" si="5"/>
        <v>0</v>
      </c>
      <c r="AE28" s="81">
        <f t="shared" si="5"/>
        <v>0</v>
      </c>
      <c r="AF28" s="81">
        <f t="shared" si="5"/>
        <v>0</v>
      </c>
      <c r="AG28" s="81">
        <f t="shared" si="5"/>
        <v>0</v>
      </c>
      <c r="AH28" s="81">
        <f t="shared" si="5"/>
        <v>0</v>
      </c>
      <c r="AI28" s="81">
        <f t="shared" si="5"/>
        <v>0</v>
      </c>
      <c r="AJ28" s="81">
        <f t="shared" si="5"/>
        <v>0</v>
      </c>
      <c r="AK28" s="81">
        <f t="shared" si="5"/>
        <v>0</v>
      </c>
      <c r="AL28" s="81">
        <f t="shared" si="5"/>
        <v>0</v>
      </c>
      <c r="AM28" s="84"/>
      <c r="AN28" s="84"/>
      <c r="AO28" s="84"/>
      <c r="AP28" s="84"/>
      <c r="AQ28" s="84"/>
      <c r="AR28" s="85"/>
      <c r="AS28" s="1"/>
      <c r="AT28" s="1"/>
      <c r="AU28" s="1"/>
      <c r="AV28" s="1"/>
      <c r="AW28" s="1"/>
      <c r="AX28" s="1"/>
      <c r="AY28" s="1"/>
      <c r="AZ28" s="1"/>
      <c r="BA28" s="1"/>
    </row>
    <row r="29" spans="1:53" x14ac:dyDescent="0.25">
      <c r="A29" s="1"/>
      <c r="B29" s="1"/>
      <c r="C29" s="1"/>
      <c r="D29" s="1"/>
      <c r="E29" s="1"/>
      <c r="F29" s="11"/>
      <c r="G29" s="77">
        <v>0</v>
      </c>
      <c r="H29" s="53">
        <v>6</v>
      </c>
      <c r="I29" s="81">
        <f t="shared" si="4"/>
        <v>0</v>
      </c>
      <c r="J29" s="1">
        <f t="shared" si="6"/>
        <v>0</v>
      </c>
      <c r="K29" s="1">
        <f t="shared" si="7"/>
        <v>0</v>
      </c>
      <c r="L29" s="1">
        <f t="shared" si="8"/>
        <v>0</v>
      </c>
      <c r="M29" s="1">
        <f t="shared" si="9"/>
        <v>0</v>
      </c>
      <c r="N29" s="1">
        <f t="shared" si="10"/>
        <v>0</v>
      </c>
      <c r="O29" s="1">
        <f t="shared" si="11"/>
        <v>0</v>
      </c>
      <c r="P29" s="1">
        <f t="shared" si="12"/>
        <v>0</v>
      </c>
      <c r="Q29" s="1">
        <f t="shared" si="13"/>
        <v>0</v>
      </c>
      <c r="R29" s="1">
        <f t="shared" ref="R29:R33" si="14">IF(G29&gt;0, G29/$R$16, 0)</f>
        <v>0</v>
      </c>
      <c r="S29" s="1">
        <f>IF(G29&gt;0, G29/$S$16, 0)</f>
        <v>0</v>
      </c>
      <c r="T29" s="84"/>
      <c r="U29" s="84"/>
      <c r="V29" s="84"/>
      <c r="W29" s="84"/>
      <c r="X29" s="85"/>
      <c r="Y29" s="1"/>
      <c r="Z29" s="11"/>
      <c r="AA29" s="77">
        <v>0</v>
      </c>
      <c r="AB29" s="53">
        <v>6</v>
      </c>
      <c r="AC29" s="81">
        <f t="shared" si="5"/>
        <v>0</v>
      </c>
      <c r="AD29" s="81">
        <f t="shared" si="5"/>
        <v>0</v>
      </c>
      <c r="AE29" s="81">
        <f t="shared" si="5"/>
        <v>0</v>
      </c>
      <c r="AF29" s="81">
        <f t="shared" si="5"/>
        <v>0</v>
      </c>
      <c r="AG29" s="81">
        <f t="shared" si="5"/>
        <v>0</v>
      </c>
      <c r="AH29" s="81">
        <f t="shared" si="5"/>
        <v>0</v>
      </c>
      <c r="AI29" s="81">
        <f t="shared" si="5"/>
        <v>0</v>
      </c>
      <c r="AJ29" s="81">
        <f t="shared" si="5"/>
        <v>0</v>
      </c>
      <c r="AK29" s="81">
        <f t="shared" si="5"/>
        <v>0</v>
      </c>
      <c r="AL29" s="81">
        <f t="shared" si="5"/>
        <v>0</v>
      </c>
      <c r="AM29" s="81">
        <f t="shared" si="5"/>
        <v>0</v>
      </c>
      <c r="AN29" s="84"/>
      <c r="AO29" s="84"/>
      <c r="AP29" s="84"/>
      <c r="AQ29" s="84"/>
      <c r="AR29" s="85"/>
      <c r="AS29" s="1"/>
      <c r="AT29" s="1"/>
      <c r="AU29" s="1"/>
      <c r="AV29" s="1"/>
      <c r="AW29" s="1"/>
      <c r="AX29" s="1"/>
      <c r="AY29" s="1"/>
      <c r="AZ29" s="1"/>
      <c r="BA29" s="1"/>
    </row>
    <row r="30" spans="1:53" x14ac:dyDescent="0.25">
      <c r="A30" s="1"/>
      <c r="B30" s="1"/>
      <c r="C30" s="1"/>
      <c r="D30" s="1"/>
      <c r="E30" s="1"/>
      <c r="F30" s="11"/>
      <c r="G30" s="77">
        <v>0</v>
      </c>
      <c r="H30" s="53">
        <v>6.5</v>
      </c>
      <c r="I30" s="81">
        <f t="shared" si="4"/>
        <v>0</v>
      </c>
      <c r="J30" s="1">
        <f t="shared" si="6"/>
        <v>0</v>
      </c>
      <c r="K30" s="1">
        <f t="shared" si="7"/>
        <v>0</v>
      </c>
      <c r="L30" s="1">
        <f t="shared" si="8"/>
        <v>0</v>
      </c>
      <c r="M30" s="1">
        <f t="shared" si="9"/>
        <v>0</v>
      </c>
      <c r="N30" s="1">
        <f t="shared" si="10"/>
        <v>0</v>
      </c>
      <c r="O30" s="1">
        <f t="shared" si="11"/>
        <v>0</v>
      </c>
      <c r="P30" s="1">
        <f t="shared" si="12"/>
        <v>0</v>
      </c>
      <c r="Q30" s="1">
        <f t="shared" si="13"/>
        <v>0</v>
      </c>
      <c r="R30" s="1">
        <f t="shared" si="14"/>
        <v>0</v>
      </c>
      <c r="S30" s="1">
        <f t="shared" ref="S30:S33" si="15">IF(G30&gt;0, G30/$S$16, 0)</f>
        <v>0</v>
      </c>
      <c r="T30" s="1">
        <f>IF(G30&gt;0, G30/$T$16, 0)</f>
        <v>0</v>
      </c>
      <c r="U30" s="84"/>
      <c r="V30" s="84"/>
      <c r="W30" s="84"/>
      <c r="X30" s="85"/>
      <c r="Y30" s="1"/>
      <c r="Z30" s="11"/>
      <c r="AA30" s="77">
        <v>0</v>
      </c>
      <c r="AB30" s="53">
        <v>6.5</v>
      </c>
      <c r="AC30" s="81">
        <f t="shared" si="5"/>
        <v>0</v>
      </c>
      <c r="AD30" s="81">
        <f t="shared" si="5"/>
        <v>0</v>
      </c>
      <c r="AE30" s="81">
        <f t="shared" si="5"/>
        <v>0</v>
      </c>
      <c r="AF30" s="81">
        <f t="shared" si="5"/>
        <v>0</v>
      </c>
      <c r="AG30" s="81">
        <f t="shared" si="5"/>
        <v>0</v>
      </c>
      <c r="AH30" s="81">
        <f t="shared" si="5"/>
        <v>0</v>
      </c>
      <c r="AI30" s="81">
        <f t="shared" si="5"/>
        <v>0</v>
      </c>
      <c r="AJ30" s="81">
        <f t="shared" si="5"/>
        <v>0</v>
      </c>
      <c r="AK30" s="81">
        <f t="shared" si="5"/>
        <v>0</v>
      </c>
      <c r="AL30" s="81">
        <f t="shared" si="5"/>
        <v>0</v>
      </c>
      <c r="AM30" s="81">
        <f t="shared" si="5"/>
        <v>0</v>
      </c>
      <c r="AN30" s="81">
        <f t="shared" si="5"/>
        <v>0</v>
      </c>
      <c r="AO30" s="84"/>
      <c r="AP30" s="84"/>
      <c r="AQ30" s="84"/>
      <c r="AR30" s="85"/>
      <c r="AS30" s="1"/>
      <c r="AT30" s="1"/>
      <c r="AU30" s="1"/>
      <c r="AV30" s="1"/>
      <c r="AW30" s="1"/>
      <c r="AX30" s="1"/>
      <c r="AY30" s="1"/>
      <c r="AZ30" s="1"/>
      <c r="BA30" s="1"/>
    </row>
    <row r="31" spans="1:53" x14ac:dyDescent="0.25">
      <c r="A31" s="1"/>
      <c r="B31" s="1"/>
      <c r="C31" s="1"/>
      <c r="D31" s="1"/>
      <c r="E31" s="1"/>
      <c r="F31" s="11"/>
      <c r="G31" s="77">
        <v>0</v>
      </c>
      <c r="H31" s="53">
        <v>7</v>
      </c>
      <c r="I31" s="81">
        <f t="shared" si="4"/>
        <v>0</v>
      </c>
      <c r="J31" s="1">
        <f t="shared" si="6"/>
        <v>0</v>
      </c>
      <c r="K31" s="1">
        <f t="shared" si="7"/>
        <v>0</v>
      </c>
      <c r="L31" s="1">
        <f t="shared" si="8"/>
        <v>0</v>
      </c>
      <c r="M31" s="1">
        <f t="shared" si="9"/>
        <v>0</v>
      </c>
      <c r="N31" s="1">
        <f t="shared" si="10"/>
        <v>0</v>
      </c>
      <c r="O31" s="1">
        <f t="shared" si="11"/>
        <v>0</v>
      </c>
      <c r="P31" s="1">
        <f t="shared" si="12"/>
        <v>0</v>
      </c>
      <c r="Q31" s="1">
        <f t="shared" si="13"/>
        <v>0</v>
      </c>
      <c r="R31" s="1">
        <f t="shared" si="14"/>
        <v>0</v>
      </c>
      <c r="S31" s="1">
        <f t="shared" si="15"/>
        <v>0</v>
      </c>
      <c r="T31" s="1">
        <f t="shared" ref="T31:T33" si="16">IF(G31&gt;0, G31/$T$16, 0)</f>
        <v>0</v>
      </c>
      <c r="U31" s="1">
        <f>IF(G31&gt;0, G31/$U$16, 0)</f>
        <v>0</v>
      </c>
      <c r="V31" s="84"/>
      <c r="W31" s="84"/>
      <c r="X31" s="85"/>
      <c r="Y31" s="1"/>
      <c r="Z31" s="11"/>
      <c r="AA31" s="77">
        <v>0</v>
      </c>
      <c r="AB31" s="53">
        <v>7</v>
      </c>
      <c r="AC31" s="81">
        <f t="shared" si="5"/>
        <v>0</v>
      </c>
      <c r="AD31" s="81">
        <f t="shared" si="5"/>
        <v>0</v>
      </c>
      <c r="AE31" s="81">
        <f t="shared" si="5"/>
        <v>0</v>
      </c>
      <c r="AF31" s="81">
        <f t="shared" si="5"/>
        <v>0</v>
      </c>
      <c r="AG31" s="81">
        <f t="shared" si="5"/>
        <v>0</v>
      </c>
      <c r="AH31" s="81">
        <f t="shared" si="5"/>
        <v>0</v>
      </c>
      <c r="AI31" s="81">
        <f t="shared" si="5"/>
        <v>0</v>
      </c>
      <c r="AJ31" s="81">
        <f t="shared" si="5"/>
        <v>0</v>
      </c>
      <c r="AK31" s="81">
        <f t="shared" si="5"/>
        <v>0</v>
      </c>
      <c r="AL31" s="81">
        <f t="shared" si="5"/>
        <v>0</v>
      </c>
      <c r="AM31" s="81">
        <f t="shared" si="5"/>
        <v>0</v>
      </c>
      <c r="AN31" s="81">
        <f t="shared" si="5"/>
        <v>0</v>
      </c>
      <c r="AO31" s="81">
        <f t="shared" si="5"/>
        <v>0</v>
      </c>
      <c r="AP31" s="84"/>
      <c r="AQ31" s="84"/>
      <c r="AR31" s="85"/>
      <c r="AS31" s="1"/>
      <c r="AT31" s="1"/>
      <c r="AU31" s="1"/>
      <c r="AV31" s="1"/>
      <c r="AW31" s="1"/>
      <c r="AX31" s="1"/>
      <c r="AY31" s="1"/>
      <c r="AZ31" s="1"/>
      <c r="BA31" s="1"/>
    </row>
    <row r="32" spans="1:53" x14ac:dyDescent="0.25">
      <c r="A32" s="1"/>
      <c r="B32" s="1"/>
      <c r="C32" s="1"/>
      <c r="D32" s="1"/>
      <c r="E32" s="1"/>
      <c r="F32" s="11"/>
      <c r="G32" s="77">
        <v>0</v>
      </c>
      <c r="H32" s="53">
        <v>7.5</v>
      </c>
      <c r="I32" s="81">
        <f t="shared" si="4"/>
        <v>0</v>
      </c>
      <c r="J32" s="1">
        <f t="shared" si="6"/>
        <v>0</v>
      </c>
      <c r="K32" s="1">
        <f t="shared" si="7"/>
        <v>0</v>
      </c>
      <c r="L32" s="1">
        <f t="shared" si="8"/>
        <v>0</v>
      </c>
      <c r="M32" s="1">
        <f t="shared" si="9"/>
        <v>0</v>
      </c>
      <c r="N32" s="1">
        <f t="shared" si="10"/>
        <v>0</v>
      </c>
      <c r="O32" s="1">
        <f t="shared" si="11"/>
        <v>0</v>
      </c>
      <c r="P32" s="1">
        <f t="shared" si="12"/>
        <v>0</v>
      </c>
      <c r="Q32" s="1">
        <f t="shared" si="13"/>
        <v>0</v>
      </c>
      <c r="R32" s="1">
        <f t="shared" si="14"/>
        <v>0</v>
      </c>
      <c r="S32" s="1">
        <f t="shared" si="15"/>
        <v>0</v>
      </c>
      <c r="T32" s="1">
        <f t="shared" si="16"/>
        <v>0</v>
      </c>
      <c r="U32" s="1">
        <f t="shared" ref="U32:U33" si="17">IF(G32&gt;0, G32/$U$16, 0)</f>
        <v>0</v>
      </c>
      <c r="V32" s="1">
        <f>IF(G32&gt;0, G32/$V$16, 0)</f>
        <v>0</v>
      </c>
      <c r="W32" s="84"/>
      <c r="X32" s="85"/>
      <c r="Y32" s="1"/>
      <c r="Z32" s="11"/>
      <c r="AA32" s="77">
        <v>0</v>
      </c>
      <c r="AB32" s="53">
        <v>7.5</v>
      </c>
      <c r="AC32" s="81">
        <f t="shared" si="5"/>
        <v>0</v>
      </c>
      <c r="AD32" s="81">
        <f t="shared" si="5"/>
        <v>0</v>
      </c>
      <c r="AE32" s="81">
        <f t="shared" si="5"/>
        <v>0</v>
      </c>
      <c r="AF32" s="81">
        <f t="shared" si="5"/>
        <v>0</v>
      </c>
      <c r="AG32" s="81">
        <f t="shared" si="5"/>
        <v>0</v>
      </c>
      <c r="AH32" s="81">
        <f t="shared" si="5"/>
        <v>0</v>
      </c>
      <c r="AI32" s="81">
        <f t="shared" si="5"/>
        <v>0</v>
      </c>
      <c r="AJ32" s="81">
        <f t="shared" si="5"/>
        <v>0</v>
      </c>
      <c r="AK32" s="81">
        <f t="shared" si="5"/>
        <v>0</v>
      </c>
      <c r="AL32" s="81">
        <f t="shared" si="5"/>
        <v>0</v>
      </c>
      <c r="AM32" s="81">
        <f t="shared" si="5"/>
        <v>0</v>
      </c>
      <c r="AN32" s="81">
        <f t="shared" si="5"/>
        <v>0</v>
      </c>
      <c r="AO32" s="81">
        <f t="shared" si="5"/>
        <v>0</v>
      </c>
      <c r="AP32" s="81">
        <f t="shared" si="5"/>
        <v>0</v>
      </c>
      <c r="AQ32" s="84"/>
      <c r="AR32" s="85"/>
      <c r="AS32" s="1"/>
      <c r="AT32" s="1"/>
      <c r="AU32" s="1"/>
      <c r="AV32" s="1"/>
      <c r="AW32" s="1"/>
      <c r="AX32" s="1"/>
      <c r="AY32" s="1"/>
      <c r="AZ32" s="1"/>
      <c r="BA32" s="1"/>
    </row>
    <row r="33" spans="1:53" ht="15.75" thickBot="1" x14ac:dyDescent="0.3">
      <c r="A33" s="1"/>
      <c r="B33" s="1"/>
      <c r="C33" s="1"/>
      <c r="D33" s="1"/>
      <c r="E33" s="1"/>
      <c r="F33" s="13"/>
      <c r="G33" s="80">
        <v>0</v>
      </c>
      <c r="H33" s="56">
        <v>8</v>
      </c>
      <c r="I33" s="82">
        <f t="shared" si="4"/>
        <v>0</v>
      </c>
      <c r="J33" s="14">
        <f t="shared" si="6"/>
        <v>0</v>
      </c>
      <c r="K33" s="14">
        <f t="shared" si="7"/>
        <v>0</v>
      </c>
      <c r="L33" s="14">
        <f t="shared" si="8"/>
        <v>0</v>
      </c>
      <c r="M33" s="14">
        <f t="shared" si="9"/>
        <v>0</v>
      </c>
      <c r="N33" s="14">
        <f t="shared" si="10"/>
        <v>0</v>
      </c>
      <c r="O33" s="14">
        <f t="shared" si="11"/>
        <v>0</v>
      </c>
      <c r="P33" s="14">
        <f t="shared" si="12"/>
        <v>0</v>
      </c>
      <c r="Q33" s="14">
        <f t="shared" si="13"/>
        <v>0</v>
      </c>
      <c r="R33" s="14">
        <f t="shared" si="14"/>
        <v>0</v>
      </c>
      <c r="S33" s="14">
        <f t="shared" si="15"/>
        <v>0</v>
      </c>
      <c r="T33" s="14">
        <f t="shared" si="16"/>
        <v>0</v>
      </c>
      <c r="U33" s="14">
        <f t="shared" si="17"/>
        <v>0</v>
      </c>
      <c r="V33" s="14">
        <f>IF(G33&gt;0, G33/$V$16, 0)</f>
        <v>0</v>
      </c>
      <c r="W33" s="14">
        <f>IF(G33&gt;0, G33/$W$16, 0)</f>
        <v>0</v>
      </c>
      <c r="X33" s="86"/>
      <c r="Y33" s="1"/>
      <c r="Z33" s="13"/>
      <c r="AA33" s="80">
        <v>0</v>
      </c>
      <c r="AB33" s="56">
        <v>8</v>
      </c>
      <c r="AC33" s="82">
        <f t="shared" si="5"/>
        <v>0</v>
      </c>
      <c r="AD33" s="82">
        <f t="shared" si="5"/>
        <v>0</v>
      </c>
      <c r="AE33" s="82">
        <f t="shared" si="5"/>
        <v>0</v>
      </c>
      <c r="AF33" s="82">
        <f t="shared" si="5"/>
        <v>0</v>
      </c>
      <c r="AG33" s="82">
        <f t="shared" si="5"/>
        <v>0</v>
      </c>
      <c r="AH33" s="82">
        <f t="shared" si="5"/>
        <v>0</v>
      </c>
      <c r="AI33" s="82">
        <f t="shared" si="5"/>
        <v>0</v>
      </c>
      <c r="AJ33" s="82">
        <f t="shared" si="5"/>
        <v>0</v>
      </c>
      <c r="AK33" s="82">
        <f t="shared" si="5"/>
        <v>0</v>
      </c>
      <c r="AL33" s="82">
        <f t="shared" si="5"/>
        <v>0</v>
      </c>
      <c r="AM33" s="82">
        <f t="shared" si="5"/>
        <v>0</v>
      </c>
      <c r="AN33" s="82">
        <f t="shared" si="5"/>
        <v>0</v>
      </c>
      <c r="AO33" s="82">
        <f t="shared" si="5"/>
        <v>0</v>
      </c>
      <c r="AP33" s="82">
        <f t="shared" si="5"/>
        <v>0</v>
      </c>
      <c r="AQ33" s="82">
        <f t="shared" si="5"/>
        <v>0</v>
      </c>
      <c r="AR33" s="86"/>
      <c r="AS33" s="1"/>
      <c r="AT33" s="1"/>
      <c r="AU33" s="1"/>
      <c r="AV33" s="1"/>
      <c r="AW33" s="1"/>
      <c r="AX33" s="1"/>
      <c r="AY33" s="1"/>
      <c r="AZ33" s="1"/>
      <c r="BA33" s="1"/>
    </row>
    <row r="34" spans="1:53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</row>
    <row r="35" spans="1:53" x14ac:dyDescent="0.25">
      <c r="A35" s="1"/>
      <c r="B35" s="1"/>
      <c r="C35" s="1"/>
      <c r="D35" s="1"/>
      <c r="E35" s="1"/>
      <c r="F35" s="1" t="s">
        <v>95</v>
      </c>
      <c r="G35" s="18">
        <v>2</v>
      </c>
      <c r="H35" s="1" t="s">
        <v>46</v>
      </c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</row>
    <row r="36" spans="1:53" ht="15.75" thickBot="1" x14ac:dyDescent="0.3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</row>
    <row r="37" spans="1:53" x14ac:dyDescent="0.25">
      <c r="A37" s="1"/>
      <c r="B37" s="1"/>
      <c r="C37" s="1"/>
      <c r="D37" s="1"/>
      <c r="E37" s="1"/>
      <c r="F37" s="89" t="s">
        <v>96</v>
      </c>
      <c r="G37" s="9" t="s">
        <v>93</v>
      </c>
      <c r="H37" s="78">
        <v>1</v>
      </c>
      <c r="I37" s="78">
        <f>H9</f>
        <v>0.97870000000000001</v>
      </c>
      <c r="J37" s="78">
        <f t="shared" ref="J37:X37" si="18">I9</f>
        <v>0.95709999999999995</v>
      </c>
      <c r="K37" s="78">
        <f t="shared" si="18"/>
        <v>0.93610000000000004</v>
      </c>
      <c r="L37" s="78">
        <f t="shared" si="18"/>
        <v>0</v>
      </c>
      <c r="M37" s="78">
        <f t="shared" si="18"/>
        <v>0</v>
      </c>
      <c r="N37" s="78">
        <f t="shared" si="18"/>
        <v>0</v>
      </c>
      <c r="O37" s="78">
        <f t="shared" si="18"/>
        <v>0</v>
      </c>
      <c r="P37" s="78">
        <f t="shared" si="18"/>
        <v>0</v>
      </c>
      <c r="Q37" s="78">
        <f t="shared" si="18"/>
        <v>0</v>
      </c>
      <c r="R37" s="78">
        <f t="shared" si="18"/>
        <v>0</v>
      </c>
      <c r="S37" s="78">
        <f t="shared" si="18"/>
        <v>0</v>
      </c>
      <c r="T37" s="78">
        <f t="shared" si="18"/>
        <v>0</v>
      </c>
      <c r="U37" s="78">
        <f t="shared" si="18"/>
        <v>0</v>
      </c>
      <c r="V37" s="78">
        <f t="shared" si="18"/>
        <v>0</v>
      </c>
      <c r="W37" s="78">
        <f t="shared" si="18"/>
        <v>0</v>
      </c>
      <c r="X37" s="79">
        <f t="shared" si="18"/>
        <v>0</v>
      </c>
      <c r="Y37" s="1"/>
      <c r="Z37" s="89" t="s">
        <v>102</v>
      </c>
      <c r="AA37" s="9" t="s">
        <v>93</v>
      </c>
      <c r="AB37" s="78">
        <v>1</v>
      </c>
      <c r="AC37" s="78">
        <f>H13</f>
        <v>0.97870000000000001</v>
      </c>
      <c r="AD37" s="78">
        <f t="shared" ref="AD37:AR37" si="19">I13</f>
        <v>0.95709999999999995</v>
      </c>
      <c r="AE37" s="78">
        <f t="shared" si="19"/>
        <v>0.93610000000000004</v>
      </c>
      <c r="AF37" s="78">
        <f t="shared" si="19"/>
        <v>0</v>
      </c>
      <c r="AG37" s="78">
        <f t="shared" si="19"/>
        <v>0</v>
      </c>
      <c r="AH37" s="78">
        <f t="shared" si="19"/>
        <v>0</v>
      </c>
      <c r="AI37" s="78">
        <f t="shared" si="19"/>
        <v>0</v>
      </c>
      <c r="AJ37" s="78">
        <f t="shared" si="19"/>
        <v>0</v>
      </c>
      <c r="AK37" s="78">
        <f t="shared" si="19"/>
        <v>0</v>
      </c>
      <c r="AL37" s="78">
        <f t="shared" si="19"/>
        <v>0</v>
      </c>
      <c r="AM37" s="78">
        <f t="shared" si="19"/>
        <v>0</v>
      </c>
      <c r="AN37" s="78">
        <f t="shared" si="19"/>
        <v>0</v>
      </c>
      <c r="AO37" s="78">
        <f t="shared" si="19"/>
        <v>0</v>
      </c>
      <c r="AP37" s="78">
        <f t="shared" si="19"/>
        <v>0</v>
      </c>
      <c r="AQ37" s="78">
        <f t="shared" si="19"/>
        <v>0</v>
      </c>
      <c r="AR37" s="79">
        <f t="shared" si="19"/>
        <v>0</v>
      </c>
      <c r="AS37" s="1"/>
      <c r="AT37" s="1"/>
      <c r="AU37" s="1"/>
      <c r="AV37" s="1"/>
      <c r="AW37" s="1"/>
      <c r="AX37" s="1"/>
      <c r="AY37" s="1"/>
      <c r="AZ37" s="1"/>
      <c r="BA37" s="1"/>
    </row>
    <row r="38" spans="1:53" x14ac:dyDescent="0.25">
      <c r="A38" s="1"/>
      <c r="B38" s="1"/>
      <c r="C38" s="1"/>
      <c r="D38" s="1"/>
      <c r="E38" s="1"/>
      <c r="F38" s="5" t="s">
        <v>94</v>
      </c>
      <c r="G38" s="77">
        <v>1</v>
      </c>
      <c r="H38" s="53">
        <f>G27</f>
        <v>0</v>
      </c>
      <c r="I38" s="53">
        <f>H8</f>
        <v>0.5</v>
      </c>
      <c r="J38" s="53">
        <f t="shared" ref="J38:X38" si="20">I8</f>
        <v>1</v>
      </c>
      <c r="K38" s="53">
        <f t="shared" si="20"/>
        <v>1.5</v>
      </c>
      <c r="L38" s="53">
        <f t="shared" si="20"/>
        <v>2</v>
      </c>
      <c r="M38" s="53">
        <f t="shared" si="20"/>
        <v>2.5</v>
      </c>
      <c r="N38" s="53">
        <f t="shared" si="20"/>
        <v>3</v>
      </c>
      <c r="O38" s="53">
        <f t="shared" si="20"/>
        <v>3.5</v>
      </c>
      <c r="P38" s="53">
        <f t="shared" si="20"/>
        <v>4</v>
      </c>
      <c r="Q38" s="53">
        <f t="shared" si="20"/>
        <v>4.5</v>
      </c>
      <c r="R38" s="53">
        <f t="shared" si="20"/>
        <v>5</v>
      </c>
      <c r="S38" s="53">
        <f t="shared" si="20"/>
        <v>5.5</v>
      </c>
      <c r="T38" s="53">
        <f t="shared" si="20"/>
        <v>6</v>
      </c>
      <c r="U38" s="53">
        <f t="shared" si="20"/>
        <v>6.5</v>
      </c>
      <c r="V38" s="53">
        <f t="shared" si="20"/>
        <v>7</v>
      </c>
      <c r="W38" s="53">
        <f t="shared" si="20"/>
        <v>7.5</v>
      </c>
      <c r="X38" s="54">
        <f t="shared" si="20"/>
        <v>8</v>
      </c>
      <c r="Y38" s="1"/>
      <c r="Z38" s="5" t="s">
        <v>94</v>
      </c>
      <c r="AA38" s="77">
        <v>1</v>
      </c>
      <c r="AB38" s="53">
        <f>AA27</f>
        <v>0</v>
      </c>
      <c r="AC38" s="53">
        <f>AC17</f>
        <v>0.5</v>
      </c>
      <c r="AD38" s="53">
        <f t="shared" ref="AD38:AR38" si="21">AD17</f>
        <v>1</v>
      </c>
      <c r="AE38" s="53">
        <f t="shared" si="21"/>
        <v>1.5</v>
      </c>
      <c r="AF38" s="53">
        <f t="shared" si="21"/>
        <v>2</v>
      </c>
      <c r="AG38" s="53">
        <f t="shared" si="21"/>
        <v>2.5</v>
      </c>
      <c r="AH38" s="53">
        <f t="shared" si="21"/>
        <v>3</v>
      </c>
      <c r="AI38" s="53">
        <f t="shared" si="21"/>
        <v>3.5</v>
      </c>
      <c r="AJ38" s="53">
        <f t="shared" si="21"/>
        <v>4</v>
      </c>
      <c r="AK38" s="53">
        <f t="shared" si="21"/>
        <v>4.5</v>
      </c>
      <c r="AL38" s="53">
        <f t="shared" si="21"/>
        <v>5</v>
      </c>
      <c r="AM38" s="53">
        <f t="shared" si="21"/>
        <v>5.5</v>
      </c>
      <c r="AN38" s="53">
        <f t="shared" si="21"/>
        <v>6</v>
      </c>
      <c r="AO38" s="53">
        <f t="shared" si="21"/>
        <v>6.5</v>
      </c>
      <c r="AP38" s="53">
        <f t="shared" si="21"/>
        <v>7</v>
      </c>
      <c r="AQ38" s="53">
        <f t="shared" si="21"/>
        <v>7.5</v>
      </c>
      <c r="AR38" s="54">
        <f t="shared" si="21"/>
        <v>8</v>
      </c>
      <c r="AS38" s="1"/>
      <c r="AT38" s="1"/>
      <c r="AU38" s="1"/>
      <c r="AV38" s="1"/>
      <c r="AW38" s="1"/>
      <c r="AX38" s="1"/>
      <c r="AY38" s="1"/>
      <c r="AZ38" s="1"/>
      <c r="BA38" s="1"/>
    </row>
    <row r="39" spans="1:53" x14ac:dyDescent="0.25">
      <c r="A39" s="1"/>
      <c r="B39" s="1"/>
      <c r="C39" s="1"/>
      <c r="D39" s="1"/>
      <c r="E39" s="1"/>
      <c r="F39" s="11"/>
      <c r="G39" s="77">
        <f t="array" ref="G39:G54">TRANSPOSE(H9:W9)</f>
        <v>0.97870000000000001</v>
      </c>
      <c r="H39" s="53">
        <f t="array" ref="H39:H54">TRANSPOSE($I$17:$X$17)</f>
        <v>0.5</v>
      </c>
      <c r="I39" s="83"/>
      <c r="J39" s="87"/>
      <c r="K39" s="87"/>
      <c r="L39" s="87"/>
      <c r="M39" s="87"/>
      <c r="N39" s="87"/>
      <c r="O39" s="87"/>
      <c r="P39" s="87"/>
      <c r="Q39" s="87"/>
      <c r="R39" s="87"/>
      <c r="S39" s="87"/>
      <c r="T39" s="87"/>
      <c r="U39" s="87"/>
      <c r="V39" s="87"/>
      <c r="W39" s="87"/>
      <c r="X39" s="88"/>
      <c r="Y39" s="1"/>
      <c r="Z39" s="11"/>
      <c r="AA39" s="77">
        <f t="array" ref="AA39:AA54">TRANSPOSE(H13:W13)</f>
        <v>0.97870000000000001</v>
      </c>
      <c r="AB39" s="53">
        <f t="array" ref="AB39:AB54">TRANSPOSE($I$17:$X$17)</f>
        <v>0.5</v>
      </c>
      <c r="AC39" s="83"/>
      <c r="AD39" s="87"/>
      <c r="AE39" s="87"/>
      <c r="AF39" s="87"/>
      <c r="AG39" s="87"/>
      <c r="AH39" s="87"/>
      <c r="AI39" s="87"/>
      <c r="AJ39" s="87"/>
      <c r="AK39" s="87"/>
      <c r="AL39" s="87"/>
      <c r="AM39" s="87"/>
      <c r="AN39" s="87"/>
      <c r="AO39" s="87"/>
      <c r="AP39" s="87"/>
      <c r="AQ39" s="87"/>
      <c r="AR39" s="88"/>
      <c r="AS39" s="1"/>
      <c r="AT39" s="1"/>
      <c r="AU39" s="1"/>
      <c r="AV39" s="1"/>
      <c r="AW39" s="1"/>
      <c r="AX39" s="1"/>
      <c r="AY39" s="1"/>
      <c r="AZ39" s="1"/>
      <c r="BA39" s="1"/>
    </row>
    <row r="40" spans="1:53" x14ac:dyDescent="0.25">
      <c r="A40" s="1"/>
      <c r="B40" s="1"/>
      <c r="C40" s="1"/>
      <c r="D40" s="1"/>
      <c r="E40" s="1"/>
      <c r="F40" s="5"/>
      <c r="G40" s="77">
        <v>0.95709999999999995</v>
      </c>
      <c r="H40" s="53">
        <v>1</v>
      </c>
      <c r="I40" s="81">
        <f>IF(I19&gt;0, IF(TYPE($G$35)=1, $G$35 * ((I19^(-1/($G$35*($H40-I$38))))-1), -(LN(I19)/($H40-I$38))), 0)</f>
        <v>4.513634938877864E-2</v>
      </c>
      <c r="J40" s="84"/>
      <c r="K40" s="84"/>
      <c r="L40" s="84"/>
      <c r="M40" s="84"/>
      <c r="N40" s="84"/>
      <c r="O40" s="84"/>
      <c r="P40" s="84"/>
      <c r="Q40" s="84"/>
      <c r="R40" s="84"/>
      <c r="S40" s="84"/>
      <c r="T40" s="84"/>
      <c r="U40" s="84"/>
      <c r="V40" s="84"/>
      <c r="W40" s="84"/>
      <c r="X40" s="85"/>
      <c r="Y40" s="1"/>
      <c r="Z40" s="5"/>
      <c r="AA40" s="77">
        <v>0.95709999999999995</v>
      </c>
      <c r="AB40" s="53">
        <v>1</v>
      </c>
      <c r="AC40" s="81">
        <f>IF(AC19&gt;0, IF(TYPE($G$35)=1, $G$35 * ((AC19^(-1/($G$35*($AB40-AC$38))))-1), -(LN(AC19)/($AB40-AC$38))), 0)</f>
        <v>4.513634938877864E-2</v>
      </c>
      <c r="AD40" s="84"/>
      <c r="AE40" s="84"/>
      <c r="AF40" s="84"/>
      <c r="AG40" s="84"/>
      <c r="AH40" s="84"/>
      <c r="AI40" s="84"/>
      <c r="AJ40" s="84"/>
      <c r="AK40" s="84"/>
      <c r="AL40" s="84"/>
      <c r="AM40" s="84"/>
      <c r="AN40" s="84"/>
      <c r="AO40" s="84"/>
      <c r="AP40" s="84"/>
      <c r="AQ40" s="84"/>
      <c r="AR40" s="85"/>
      <c r="AS40" s="1"/>
      <c r="AT40" s="1"/>
      <c r="AU40" s="1"/>
      <c r="AV40" s="1"/>
      <c r="AW40" s="1"/>
      <c r="AX40" s="1"/>
      <c r="AY40" s="1"/>
      <c r="AZ40" s="1"/>
      <c r="BA40" s="1"/>
    </row>
    <row r="41" spans="1:53" x14ac:dyDescent="0.25">
      <c r="A41" s="1"/>
      <c r="B41" s="1"/>
      <c r="C41" s="1"/>
      <c r="D41" s="1"/>
      <c r="E41" s="1"/>
      <c r="F41" s="11"/>
      <c r="G41" s="77">
        <v>0.93610000000000004</v>
      </c>
      <c r="H41" s="53">
        <v>1.5</v>
      </c>
      <c r="I41" s="81">
        <f t="shared" ref="I41:W54" si="22">IF(I20&gt;0, IF(TYPE($G$35)=1, $G$35 * ((I20^(-1/($G$35*($H41-I$38))))-1), -(LN(I20)/($H41-I$38))), 0)</f>
        <v>4.500167095426777E-2</v>
      </c>
      <c r="J41" s="81">
        <f t="shared" si="22"/>
        <v>4.4867001388740224E-2</v>
      </c>
      <c r="K41" s="84"/>
      <c r="L41" s="84"/>
      <c r="M41" s="84"/>
      <c r="N41" s="84"/>
      <c r="O41" s="84"/>
      <c r="P41" s="84"/>
      <c r="Q41" s="84"/>
      <c r="R41" s="84"/>
      <c r="S41" s="84"/>
      <c r="T41" s="84"/>
      <c r="U41" s="84"/>
      <c r="V41" s="84"/>
      <c r="W41" s="84"/>
      <c r="X41" s="85"/>
      <c r="Y41" s="1"/>
      <c r="Z41" s="11"/>
      <c r="AA41" s="77">
        <v>0.93610000000000004</v>
      </c>
      <c r="AB41" s="53">
        <v>1.5</v>
      </c>
      <c r="AC41" s="81">
        <f t="shared" ref="AC41:AC54" si="23">IF(AC20&gt;0, IF(TYPE($G$35)=1, $G$35 * ((AC20^(-1/($G$35*($AB41-AC$38))))-1), -(LN(AC20)/($AB41-AC$38))), 0)</f>
        <v>4.500167095426777E-2</v>
      </c>
      <c r="AD41" s="81">
        <f t="shared" ref="AD41:AQ54" si="24">IF(AD20&gt;0, IF(TYPE($G$35)=1, $G$35 * ((AD20^(-1/($G$35*($H41-AD$38))))-1), -(LN(AD20)/($H41-AD$38))), 0)</f>
        <v>4.4867001388740224E-2</v>
      </c>
      <c r="AE41" s="84"/>
      <c r="AF41" s="84"/>
      <c r="AG41" s="84"/>
      <c r="AH41" s="84"/>
      <c r="AI41" s="84"/>
      <c r="AJ41" s="84"/>
      <c r="AK41" s="84"/>
      <c r="AL41" s="84"/>
      <c r="AM41" s="84"/>
      <c r="AN41" s="84"/>
      <c r="AO41" s="84"/>
      <c r="AP41" s="84"/>
      <c r="AQ41" s="84"/>
      <c r="AR41" s="85"/>
      <c r="AS41" s="1"/>
      <c r="AT41" s="1"/>
      <c r="AU41" s="1"/>
      <c r="AV41" s="1"/>
      <c r="AW41" s="1"/>
      <c r="AX41" s="1"/>
      <c r="AY41" s="1"/>
      <c r="AZ41" s="1"/>
      <c r="BA41" s="1"/>
    </row>
    <row r="42" spans="1:53" x14ac:dyDescent="0.25">
      <c r="A42" s="1"/>
      <c r="B42" s="1"/>
      <c r="C42" s="1"/>
      <c r="D42" s="1"/>
      <c r="E42" s="1"/>
      <c r="F42" s="11"/>
      <c r="G42" s="77">
        <v>0</v>
      </c>
      <c r="H42" s="53">
        <v>2</v>
      </c>
      <c r="I42" s="81">
        <f t="shared" si="22"/>
        <v>0</v>
      </c>
      <c r="J42" s="81">
        <f t="shared" si="22"/>
        <v>0</v>
      </c>
      <c r="K42" s="81">
        <f t="shared" si="22"/>
        <v>0</v>
      </c>
      <c r="L42" s="84"/>
      <c r="M42" s="84"/>
      <c r="N42" s="84"/>
      <c r="O42" s="84"/>
      <c r="P42" s="84"/>
      <c r="Q42" s="84"/>
      <c r="R42" s="84"/>
      <c r="S42" s="84"/>
      <c r="T42" s="84"/>
      <c r="U42" s="84"/>
      <c r="V42" s="84"/>
      <c r="W42" s="84"/>
      <c r="X42" s="85"/>
      <c r="Y42" s="1"/>
      <c r="Z42" s="11"/>
      <c r="AA42" s="77">
        <v>0</v>
      </c>
      <c r="AB42" s="53">
        <v>2</v>
      </c>
      <c r="AC42" s="81">
        <f t="shared" si="23"/>
        <v>0</v>
      </c>
      <c r="AD42" s="81">
        <f t="shared" si="24"/>
        <v>0</v>
      </c>
      <c r="AE42" s="81">
        <f t="shared" si="24"/>
        <v>0</v>
      </c>
      <c r="AF42" s="84"/>
      <c r="AG42" s="84"/>
      <c r="AH42" s="84"/>
      <c r="AI42" s="84"/>
      <c r="AJ42" s="84"/>
      <c r="AK42" s="84"/>
      <c r="AL42" s="84"/>
      <c r="AM42" s="84"/>
      <c r="AN42" s="84"/>
      <c r="AO42" s="84"/>
      <c r="AP42" s="84"/>
      <c r="AQ42" s="84"/>
      <c r="AR42" s="85"/>
      <c r="AS42" s="1"/>
      <c r="AT42" s="1"/>
      <c r="AU42" s="1"/>
      <c r="AV42" s="1"/>
      <c r="AW42" s="1"/>
      <c r="AX42" s="1"/>
      <c r="AY42" s="1"/>
      <c r="AZ42" s="1"/>
      <c r="BA42" s="1"/>
    </row>
    <row r="43" spans="1:53" x14ac:dyDescent="0.25">
      <c r="A43" s="1"/>
      <c r="B43" s="1"/>
      <c r="C43" s="1"/>
      <c r="D43" s="1"/>
      <c r="E43" s="1"/>
      <c r="F43" s="11"/>
      <c r="G43" s="77">
        <v>0</v>
      </c>
      <c r="H43" s="53">
        <v>2.5</v>
      </c>
      <c r="I43" s="81">
        <f t="shared" si="22"/>
        <v>0</v>
      </c>
      <c r="J43" s="81">
        <f t="shared" si="22"/>
        <v>0</v>
      </c>
      <c r="K43" s="81">
        <f t="shared" si="22"/>
        <v>0</v>
      </c>
      <c r="L43" s="81">
        <f t="shared" si="22"/>
        <v>0</v>
      </c>
      <c r="M43" s="84"/>
      <c r="N43" s="84"/>
      <c r="O43" s="84"/>
      <c r="P43" s="84"/>
      <c r="Q43" s="84"/>
      <c r="R43" s="84"/>
      <c r="S43" s="84"/>
      <c r="T43" s="84"/>
      <c r="U43" s="84"/>
      <c r="V43" s="84"/>
      <c r="W43" s="84"/>
      <c r="X43" s="85"/>
      <c r="Y43" s="1"/>
      <c r="Z43" s="11"/>
      <c r="AA43" s="77">
        <v>0</v>
      </c>
      <c r="AB43" s="53">
        <v>2.5</v>
      </c>
      <c r="AC43" s="81">
        <f t="shared" si="23"/>
        <v>0</v>
      </c>
      <c r="AD43" s="81">
        <f t="shared" si="24"/>
        <v>0</v>
      </c>
      <c r="AE43" s="81">
        <f t="shared" si="24"/>
        <v>0</v>
      </c>
      <c r="AF43" s="81">
        <f t="shared" si="24"/>
        <v>0</v>
      </c>
      <c r="AG43" s="84"/>
      <c r="AH43" s="84"/>
      <c r="AI43" s="84"/>
      <c r="AJ43" s="84"/>
      <c r="AK43" s="84"/>
      <c r="AL43" s="84"/>
      <c r="AM43" s="84"/>
      <c r="AN43" s="84"/>
      <c r="AO43" s="84"/>
      <c r="AP43" s="84"/>
      <c r="AQ43" s="84"/>
      <c r="AR43" s="85"/>
      <c r="AS43" s="1"/>
      <c r="AT43" s="1"/>
      <c r="AU43" s="1"/>
      <c r="AV43" s="1"/>
      <c r="AW43" s="1"/>
      <c r="AX43" s="1"/>
      <c r="AY43" s="1"/>
      <c r="AZ43" s="1"/>
      <c r="BA43" s="1"/>
    </row>
    <row r="44" spans="1:53" x14ac:dyDescent="0.25">
      <c r="A44" s="1"/>
      <c r="B44" s="1"/>
      <c r="C44" s="1"/>
      <c r="D44" s="1"/>
      <c r="E44" s="1"/>
      <c r="F44" s="11"/>
      <c r="G44" s="77">
        <v>0</v>
      </c>
      <c r="H44" s="53">
        <v>3</v>
      </c>
      <c r="I44" s="81">
        <f t="shared" si="22"/>
        <v>0</v>
      </c>
      <c r="J44" s="81">
        <f t="shared" si="22"/>
        <v>0</v>
      </c>
      <c r="K44" s="81">
        <f t="shared" si="22"/>
        <v>0</v>
      </c>
      <c r="L44" s="81">
        <f t="shared" si="22"/>
        <v>0</v>
      </c>
      <c r="M44" s="81">
        <f t="shared" si="22"/>
        <v>0</v>
      </c>
      <c r="N44" s="84"/>
      <c r="O44" s="84"/>
      <c r="P44" s="84"/>
      <c r="Q44" s="84"/>
      <c r="R44" s="84"/>
      <c r="S44" s="84"/>
      <c r="T44" s="84"/>
      <c r="U44" s="84"/>
      <c r="V44" s="84"/>
      <c r="W44" s="84"/>
      <c r="X44" s="85"/>
      <c r="Y44" s="1"/>
      <c r="Z44" s="11"/>
      <c r="AA44" s="77">
        <v>0</v>
      </c>
      <c r="AB44" s="53">
        <v>3</v>
      </c>
      <c r="AC44" s="81">
        <f t="shared" si="23"/>
        <v>0</v>
      </c>
      <c r="AD44" s="81">
        <f t="shared" si="24"/>
        <v>0</v>
      </c>
      <c r="AE44" s="81">
        <f t="shared" si="24"/>
        <v>0</v>
      </c>
      <c r="AF44" s="81">
        <f t="shared" si="24"/>
        <v>0</v>
      </c>
      <c r="AG44" s="81">
        <f t="shared" si="24"/>
        <v>0</v>
      </c>
      <c r="AH44" s="84"/>
      <c r="AI44" s="84"/>
      <c r="AJ44" s="84"/>
      <c r="AK44" s="84"/>
      <c r="AL44" s="84"/>
      <c r="AM44" s="84"/>
      <c r="AN44" s="84"/>
      <c r="AO44" s="84"/>
      <c r="AP44" s="84"/>
      <c r="AQ44" s="84"/>
      <c r="AR44" s="85"/>
      <c r="AS44" s="1"/>
      <c r="AT44" s="1"/>
      <c r="AU44" s="1"/>
      <c r="AV44" s="1"/>
      <c r="AW44" s="1"/>
      <c r="AX44" s="1"/>
      <c r="AY44" s="1"/>
      <c r="AZ44" s="1"/>
      <c r="BA44" s="1"/>
    </row>
    <row r="45" spans="1:53" x14ac:dyDescent="0.25">
      <c r="A45" s="1"/>
      <c r="B45" s="1"/>
      <c r="C45" s="1"/>
      <c r="D45" s="1"/>
      <c r="E45" s="1"/>
      <c r="F45" s="11"/>
      <c r="G45" s="77">
        <v>0</v>
      </c>
      <c r="H45" s="53">
        <v>3.5</v>
      </c>
      <c r="I45" s="81">
        <f t="shared" si="22"/>
        <v>0</v>
      </c>
      <c r="J45" s="81">
        <f t="shared" si="22"/>
        <v>0</v>
      </c>
      <c r="K45" s="81">
        <f t="shared" si="22"/>
        <v>0</v>
      </c>
      <c r="L45" s="81">
        <f t="shared" si="22"/>
        <v>0</v>
      </c>
      <c r="M45" s="81">
        <f t="shared" si="22"/>
        <v>0</v>
      </c>
      <c r="N45" s="81">
        <f t="shared" si="22"/>
        <v>0</v>
      </c>
      <c r="O45" s="84"/>
      <c r="P45" s="84"/>
      <c r="Q45" s="84"/>
      <c r="R45" s="84"/>
      <c r="S45" s="84"/>
      <c r="T45" s="84"/>
      <c r="U45" s="84"/>
      <c r="V45" s="84"/>
      <c r="W45" s="84"/>
      <c r="X45" s="85"/>
      <c r="Y45" s="1"/>
      <c r="Z45" s="11"/>
      <c r="AA45" s="77">
        <v>0</v>
      </c>
      <c r="AB45" s="53">
        <v>3.5</v>
      </c>
      <c r="AC45" s="81">
        <f t="shared" si="23"/>
        <v>0</v>
      </c>
      <c r="AD45" s="81">
        <f t="shared" si="24"/>
        <v>0</v>
      </c>
      <c r="AE45" s="81">
        <f t="shared" si="24"/>
        <v>0</v>
      </c>
      <c r="AF45" s="81">
        <f t="shared" si="24"/>
        <v>0</v>
      </c>
      <c r="AG45" s="81">
        <f t="shared" si="24"/>
        <v>0</v>
      </c>
      <c r="AH45" s="81">
        <f t="shared" si="24"/>
        <v>0</v>
      </c>
      <c r="AI45" s="84"/>
      <c r="AJ45" s="84"/>
      <c r="AK45" s="84"/>
      <c r="AL45" s="84"/>
      <c r="AM45" s="84"/>
      <c r="AN45" s="84"/>
      <c r="AO45" s="84"/>
      <c r="AP45" s="84"/>
      <c r="AQ45" s="84"/>
      <c r="AR45" s="85"/>
      <c r="AS45" s="1"/>
      <c r="AT45" s="1"/>
      <c r="AU45" s="1"/>
      <c r="AV45" s="1"/>
      <c r="AW45" s="1"/>
      <c r="AX45" s="1"/>
      <c r="AY45" s="1"/>
      <c r="AZ45" s="1"/>
      <c r="BA45" s="1"/>
    </row>
    <row r="46" spans="1:53" x14ac:dyDescent="0.25">
      <c r="A46" s="1"/>
      <c r="B46" s="1"/>
      <c r="C46" s="1"/>
      <c r="D46" s="1"/>
      <c r="E46" s="1"/>
      <c r="F46" s="11"/>
      <c r="G46" s="77">
        <v>0</v>
      </c>
      <c r="H46" s="53">
        <v>4</v>
      </c>
      <c r="I46" s="81">
        <f t="shared" si="22"/>
        <v>0</v>
      </c>
      <c r="J46" s="81">
        <f t="shared" si="22"/>
        <v>0</v>
      </c>
      <c r="K46" s="81">
        <f t="shared" si="22"/>
        <v>0</v>
      </c>
      <c r="L46" s="81">
        <f t="shared" si="22"/>
        <v>0</v>
      </c>
      <c r="M46" s="81">
        <f t="shared" si="22"/>
        <v>0</v>
      </c>
      <c r="N46" s="81">
        <f t="shared" si="22"/>
        <v>0</v>
      </c>
      <c r="O46" s="81">
        <f t="shared" si="22"/>
        <v>0</v>
      </c>
      <c r="P46" s="84"/>
      <c r="Q46" s="84"/>
      <c r="R46" s="84"/>
      <c r="S46" s="84"/>
      <c r="T46" s="84"/>
      <c r="U46" s="84"/>
      <c r="V46" s="84"/>
      <c r="W46" s="84"/>
      <c r="X46" s="85"/>
      <c r="Y46" s="1"/>
      <c r="Z46" s="11"/>
      <c r="AA46" s="77">
        <v>0</v>
      </c>
      <c r="AB46" s="53">
        <v>4</v>
      </c>
      <c r="AC46" s="81">
        <f t="shared" si="23"/>
        <v>0</v>
      </c>
      <c r="AD46" s="81">
        <f t="shared" si="24"/>
        <v>0</v>
      </c>
      <c r="AE46" s="81">
        <f t="shared" si="24"/>
        <v>0</v>
      </c>
      <c r="AF46" s="81">
        <f t="shared" si="24"/>
        <v>0</v>
      </c>
      <c r="AG46" s="81">
        <f t="shared" si="24"/>
        <v>0</v>
      </c>
      <c r="AH46" s="81">
        <f t="shared" si="24"/>
        <v>0</v>
      </c>
      <c r="AI46" s="81">
        <f t="shared" si="24"/>
        <v>0</v>
      </c>
      <c r="AJ46" s="84"/>
      <c r="AK46" s="84"/>
      <c r="AL46" s="84"/>
      <c r="AM46" s="84"/>
      <c r="AN46" s="84"/>
      <c r="AO46" s="84"/>
      <c r="AP46" s="84"/>
      <c r="AQ46" s="84"/>
      <c r="AR46" s="85"/>
      <c r="AS46" s="1"/>
      <c r="AT46" s="1"/>
      <c r="AU46" s="1"/>
      <c r="AV46" s="1"/>
      <c r="AW46" s="1"/>
      <c r="AX46" s="1"/>
      <c r="AY46" s="1"/>
      <c r="AZ46" s="1"/>
      <c r="BA46" s="1"/>
    </row>
    <row r="47" spans="1:53" x14ac:dyDescent="0.25">
      <c r="A47" s="1"/>
      <c r="B47" s="1"/>
      <c r="C47" s="1"/>
      <c r="D47" s="1"/>
      <c r="E47" s="1"/>
      <c r="F47" s="11"/>
      <c r="G47" s="77">
        <v>0</v>
      </c>
      <c r="H47" s="53">
        <v>4.5</v>
      </c>
      <c r="I47" s="81">
        <f t="shared" si="22"/>
        <v>0</v>
      </c>
      <c r="J47" s="81">
        <f t="shared" si="22"/>
        <v>0</v>
      </c>
      <c r="K47" s="81">
        <f t="shared" si="22"/>
        <v>0</v>
      </c>
      <c r="L47" s="81">
        <f t="shared" si="22"/>
        <v>0</v>
      </c>
      <c r="M47" s="81">
        <f t="shared" si="22"/>
        <v>0</v>
      </c>
      <c r="N47" s="81">
        <f t="shared" si="22"/>
        <v>0</v>
      </c>
      <c r="O47" s="81">
        <f t="shared" si="22"/>
        <v>0</v>
      </c>
      <c r="P47" s="81">
        <f t="shared" si="22"/>
        <v>0</v>
      </c>
      <c r="Q47" s="84"/>
      <c r="R47" s="84"/>
      <c r="S47" s="84"/>
      <c r="T47" s="84"/>
      <c r="U47" s="84"/>
      <c r="V47" s="84"/>
      <c r="W47" s="84"/>
      <c r="X47" s="85"/>
      <c r="Y47" s="1"/>
      <c r="Z47" s="11"/>
      <c r="AA47" s="77">
        <v>0</v>
      </c>
      <c r="AB47" s="53">
        <v>4.5</v>
      </c>
      <c r="AC47" s="81">
        <f t="shared" si="23"/>
        <v>0</v>
      </c>
      <c r="AD47" s="81">
        <f t="shared" si="24"/>
        <v>0</v>
      </c>
      <c r="AE47" s="81">
        <f t="shared" si="24"/>
        <v>0</v>
      </c>
      <c r="AF47" s="81">
        <f t="shared" si="24"/>
        <v>0</v>
      </c>
      <c r="AG47" s="81">
        <f t="shared" si="24"/>
        <v>0</v>
      </c>
      <c r="AH47" s="81">
        <f t="shared" si="24"/>
        <v>0</v>
      </c>
      <c r="AI47" s="81">
        <f t="shared" si="24"/>
        <v>0</v>
      </c>
      <c r="AJ47" s="81">
        <f t="shared" si="24"/>
        <v>0</v>
      </c>
      <c r="AK47" s="84"/>
      <c r="AL47" s="84"/>
      <c r="AM47" s="84"/>
      <c r="AN47" s="84"/>
      <c r="AO47" s="84"/>
      <c r="AP47" s="84"/>
      <c r="AQ47" s="84"/>
      <c r="AR47" s="85"/>
      <c r="AS47" s="1"/>
      <c r="AT47" s="1"/>
      <c r="AU47" s="1"/>
      <c r="AV47" s="1"/>
      <c r="AW47" s="1"/>
      <c r="AX47" s="1"/>
      <c r="AY47" s="1"/>
      <c r="AZ47" s="1"/>
      <c r="BA47" s="1"/>
    </row>
    <row r="48" spans="1:53" x14ac:dyDescent="0.25">
      <c r="A48" s="1"/>
      <c r="B48" s="1"/>
      <c r="C48" s="1"/>
      <c r="D48" s="1"/>
      <c r="E48" s="1"/>
      <c r="F48" s="11"/>
      <c r="G48" s="77">
        <v>0</v>
      </c>
      <c r="H48" s="53">
        <v>5</v>
      </c>
      <c r="I48" s="81">
        <f t="shared" si="22"/>
        <v>0</v>
      </c>
      <c r="J48" s="81">
        <f t="shared" si="22"/>
        <v>0</v>
      </c>
      <c r="K48" s="81">
        <f t="shared" si="22"/>
        <v>0</v>
      </c>
      <c r="L48" s="81">
        <f t="shared" si="22"/>
        <v>0</v>
      </c>
      <c r="M48" s="81">
        <f t="shared" si="22"/>
        <v>0</v>
      </c>
      <c r="N48" s="81">
        <f t="shared" si="22"/>
        <v>0</v>
      </c>
      <c r="O48" s="81">
        <f t="shared" si="22"/>
        <v>0</v>
      </c>
      <c r="P48" s="81">
        <f t="shared" si="22"/>
        <v>0</v>
      </c>
      <c r="Q48" s="81">
        <f t="shared" si="22"/>
        <v>0</v>
      </c>
      <c r="R48" s="84"/>
      <c r="S48" s="84"/>
      <c r="T48" s="84"/>
      <c r="U48" s="84"/>
      <c r="V48" s="84"/>
      <c r="W48" s="84"/>
      <c r="X48" s="85"/>
      <c r="Y48" s="1"/>
      <c r="Z48" s="11"/>
      <c r="AA48" s="77">
        <v>0</v>
      </c>
      <c r="AB48" s="53">
        <v>5</v>
      </c>
      <c r="AC48" s="81">
        <f t="shared" si="23"/>
        <v>0</v>
      </c>
      <c r="AD48" s="81">
        <f t="shared" si="24"/>
        <v>0</v>
      </c>
      <c r="AE48" s="81">
        <f t="shared" si="24"/>
        <v>0</v>
      </c>
      <c r="AF48" s="81">
        <f t="shared" si="24"/>
        <v>0</v>
      </c>
      <c r="AG48" s="81">
        <f t="shared" si="24"/>
        <v>0</v>
      </c>
      <c r="AH48" s="81">
        <f t="shared" si="24"/>
        <v>0</v>
      </c>
      <c r="AI48" s="81">
        <f t="shared" si="24"/>
        <v>0</v>
      </c>
      <c r="AJ48" s="81">
        <f t="shared" si="24"/>
        <v>0</v>
      </c>
      <c r="AK48" s="81">
        <f t="shared" si="24"/>
        <v>0</v>
      </c>
      <c r="AL48" s="84"/>
      <c r="AM48" s="84"/>
      <c r="AN48" s="84"/>
      <c r="AO48" s="84"/>
      <c r="AP48" s="84"/>
      <c r="AQ48" s="84"/>
      <c r="AR48" s="85"/>
      <c r="AS48" s="1"/>
      <c r="AT48" s="1"/>
      <c r="AU48" s="1"/>
      <c r="AV48" s="1"/>
      <c r="AW48" s="1"/>
      <c r="AX48" s="1"/>
      <c r="AY48" s="1"/>
      <c r="AZ48" s="1"/>
      <c r="BA48" s="1"/>
    </row>
    <row r="49" spans="1:53" x14ac:dyDescent="0.25">
      <c r="A49" s="1"/>
      <c r="B49" s="1"/>
      <c r="C49" s="1"/>
      <c r="D49" s="1"/>
      <c r="E49" s="1"/>
      <c r="F49" s="11"/>
      <c r="G49" s="77">
        <v>0</v>
      </c>
      <c r="H49" s="53">
        <v>5.5</v>
      </c>
      <c r="I49" s="81">
        <f t="shared" si="22"/>
        <v>0</v>
      </c>
      <c r="J49" s="81">
        <f t="shared" si="22"/>
        <v>0</v>
      </c>
      <c r="K49" s="81">
        <f t="shared" si="22"/>
        <v>0</v>
      </c>
      <c r="L49" s="81">
        <f t="shared" si="22"/>
        <v>0</v>
      </c>
      <c r="M49" s="81">
        <f t="shared" si="22"/>
        <v>0</v>
      </c>
      <c r="N49" s="81">
        <f t="shared" si="22"/>
        <v>0</v>
      </c>
      <c r="O49" s="81">
        <f t="shared" si="22"/>
        <v>0</v>
      </c>
      <c r="P49" s="81">
        <f t="shared" si="22"/>
        <v>0</v>
      </c>
      <c r="Q49" s="81">
        <f t="shared" si="22"/>
        <v>0</v>
      </c>
      <c r="R49" s="81">
        <f t="shared" si="22"/>
        <v>0</v>
      </c>
      <c r="S49" s="84"/>
      <c r="T49" s="84"/>
      <c r="U49" s="84"/>
      <c r="V49" s="84"/>
      <c r="W49" s="84"/>
      <c r="X49" s="85"/>
      <c r="Y49" s="1"/>
      <c r="Z49" s="11"/>
      <c r="AA49" s="77">
        <v>0</v>
      </c>
      <c r="AB49" s="53">
        <v>5.5</v>
      </c>
      <c r="AC49" s="81">
        <f t="shared" si="23"/>
        <v>0</v>
      </c>
      <c r="AD49" s="81">
        <f t="shared" si="24"/>
        <v>0</v>
      </c>
      <c r="AE49" s="81">
        <f t="shared" si="24"/>
        <v>0</v>
      </c>
      <c r="AF49" s="81">
        <f t="shared" si="24"/>
        <v>0</v>
      </c>
      <c r="AG49" s="81">
        <f t="shared" si="24"/>
        <v>0</v>
      </c>
      <c r="AH49" s="81">
        <f t="shared" si="24"/>
        <v>0</v>
      </c>
      <c r="AI49" s="81">
        <f t="shared" si="24"/>
        <v>0</v>
      </c>
      <c r="AJ49" s="81">
        <f t="shared" si="24"/>
        <v>0</v>
      </c>
      <c r="AK49" s="81">
        <f t="shared" si="24"/>
        <v>0</v>
      </c>
      <c r="AL49" s="81">
        <f t="shared" si="24"/>
        <v>0</v>
      </c>
      <c r="AM49" s="84"/>
      <c r="AN49" s="84"/>
      <c r="AO49" s="84"/>
      <c r="AP49" s="84"/>
      <c r="AQ49" s="84"/>
      <c r="AR49" s="85"/>
      <c r="AS49" s="1"/>
      <c r="AT49" s="1"/>
      <c r="AU49" s="1"/>
      <c r="AV49" s="1"/>
      <c r="AW49" s="1"/>
      <c r="AX49" s="1"/>
      <c r="AY49" s="1"/>
      <c r="AZ49" s="1"/>
      <c r="BA49" s="1"/>
    </row>
    <row r="50" spans="1:53" x14ac:dyDescent="0.25">
      <c r="A50" s="1"/>
      <c r="B50" s="1"/>
      <c r="C50" s="1"/>
      <c r="D50" s="1"/>
      <c r="E50" s="1"/>
      <c r="F50" s="11"/>
      <c r="G50" s="77">
        <v>0</v>
      </c>
      <c r="H50" s="53">
        <v>6</v>
      </c>
      <c r="I50" s="81">
        <f t="shared" si="22"/>
        <v>0</v>
      </c>
      <c r="J50" s="81">
        <f t="shared" si="22"/>
        <v>0</v>
      </c>
      <c r="K50" s="81">
        <f t="shared" si="22"/>
        <v>0</v>
      </c>
      <c r="L50" s="81">
        <f t="shared" si="22"/>
        <v>0</v>
      </c>
      <c r="M50" s="81">
        <f t="shared" si="22"/>
        <v>0</v>
      </c>
      <c r="N50" s="81">
        <f t="shared" si="22"/>
        <v>0</v>
      </c>
      <c r="O50" s="81">
        <f t="shared" si="22"/>
        <v>0</v>
      </c>
      <c r="P50" s="81">
        <f t="shared" si="22"/>
        <v>0</v>
      </c>
      <c r="Q50" s="81">
        <f t="shared" si="22"/>
        <v>0</v>
      </c>
      <c r="R50" s="81">
        <f t="shared" si="22"/>
        <v>0</v>
      </c>
      <c r="S50" s="81">
        <f t="shared" si="22"/>
        <v>0</v>
      </c>
      <c r="T50" s="84"/>
      <c r="U50" s="84"/>
      <c r="V50" s="84"/>
      <c r="W50" s="84"/>
      <c r="X50" s="85"/>
      <c r="Y50" s="1"/>
      <c r="Z50" s="11"/>
      <c r="AA50" s="77">
        <v>0</v>
      </c>
      <c r="AB50" s="53">
        <v>6</v>
      </c>
      <c r="AC50" s="81">
        <f t="shared" si="23"/>
        <v>0</v>
      </c>
      <c r="AD50" s="81">
        <f t="shared" si="24"/>
        <v>0</v>
      </c>
      <c r="AE50" s="81">
        <f t="shared" si="24"/>
        <v>0</v>
      </c>
      <c r="AF50" s="81">
        <f t="shared" si="24"/>
        <v>0</v>
      </c>
      <c r="AG50" s="81">
        <f t="shared" si="24"/>
        <v>0</v>
      </c>
      <c r="AH50" s="81">
        <f t="shared" si="24"/>
        <v>0</v>
      </c>
      <c r="AI50" s="81">
        <f t="shared" si="24"/>
        <v>0</v>
      </c>
      <c r="AJ50" s="81">
        <f t="shared" si="24"/>
        <v>0</v>
      </c>
      <c r="AK50" s="81">
        <f t="shared" si="24"/>
        <v>0</v>
      </c>
      <c r="AL50" s="81">
        <f t="shared" si="24"/>
        <v>0</v>
      </c>
      <c r="AM50" s="81">
        <f t="shared" si="24"/>
        <v>0</v>
      </c>
      <c r="AN50" s="84"/>
      <c r="AO50" s="84"/>
      <c r="AP50" s="84"/>
      <c r="AQ50" s="84"/>
      <c r="AR50" s="85"/>
      <c r="AS50" s="1"/>
      <c r="AT50" s="1"/>
      <c r="AU50" s="1"/>
      <c r="AV50" s="1"/>
      <c r="AW50" s="1"/>
      <c r="AX50" s="1"/>
      <c r="AY50" s="1"/>
      <c r="AZ50" s="1"/>
      <c r="BA50" s="1"/>
    </row>
    <row r="51" spans="1:53" x14ac:dyDescent="0.25">
      <c r="A51" s="1"/>
      <c r="B51" s="1"/>
      <c r="C51" s="1"/>
      <c r="D51" s="1"/>
      <c r="E51" s="1"/>
      <c r="F51" s="11"/>
      <c r="G51" s="77">
        <v>0</v>
      </c>
      <c r="H51" s="53">
        <v>6.5</v>
      </c>
      <c r="I51" s="81">
        <f t="shared" si="22"/>
        <v>0</v>
      </c>
      <c r="J51" s="81">
        <f t="shared" si="22"/>
        <v>0</v>
      </c>
      <c r="K51" s="81">
        <f t="shared" si="22"/>
        <v>0</v>
      </c>
      <c r="L51" s="81">
        <f t="shared" si="22"/>
        <v>0</v>
      </c>
      <c r="M51" s="81">
        <f t="shared" si="22"/>
        <v>0</v>
      </c>
      <c r="N51" s="81">
        <f t="shared" si="22"/>
        <v>0</v>
      </c>
      <c r="O51" s="81">
        <f t="shared" si="22"/>
        <v>0</v>
      </c>
      <c r="P51" s="81">
        <f t="shared" si="22"/>
        <v>0</v>
      </c>
      <c r="Q51" s="81">
        <f t="shared" si="22"/>
        <v>0</v>
      </c>
      <c r="R51" s="81">
        <f t="shared" si="22"/>
        <v>0</v>
      </c>
      <c r="S51" s="81">
        <f t="shared" si="22"/>
        <v>0</v>
      </c>
      <c r="T51" s="81">
        <f t="shared" si="22"/>
        <v>0</v>
      </c>
      <c r="U51" s="84"/>
      <c r="V51" s="84"/>
      <c r="W51" s="84"/>
      <c r="X51" s="85"/>
      <c r="Y51" s="1"/>
      <c r="Z51" s="11"/>
      <c r="AA51" s="77">
        <v>0</v>
      </c>
      <c r="AB51" s="53">
        <v>6.5</v>
      </c>
      <c r="AC51" s="81">
        <f t="shared" si="23"/>
        <v>0</v>
      </c>
      <c r="AD51" s="81">
        <f t="shared" si="24"/>
        <v>0</v>
      </c>
      <c r="AE51" s="81">
        <f t="shared" si="24"/>
        <v>0</v>
      </c>
      <c r="AF51" s="81">
        <f t="shared" si="24"/>
        <v>0</v>
      </c>
      <c r="AG51" s="81">
        <f t="shared" si="24"/>
        <v>0</v>
      </c>
      <c r="AH51" s="81">
        <f t="shared" si="24"/>
        <v>0</v>
      </c>
      <c r="AI51" s="81">
        <f t="shared" si="24"/>
        <v>0</v>
      </c>
      <c r="AJ51" s="81">
        <f t="shared" si="24"/>
        <v>0</v>
      </c>
      <c r="AK51" s="81">
        <f t="shared" si="24"/>
        <v>0</v>
      </c>
      <c r="AL51" s="81">
        <f t="shared" si="24"/>
        <v>0</v>
      </c>
      <c r="AM51" s="81">
        <f t="shared" si="24"/>
        <v>0</v>
      </c>
      <c r="AN51" s="81">
        <f t="shared" si="24"/>
        <v>0</v>
      </c>
      <c r="AO51" s="84"/>
      <c r="AP51" s="84"/>
      <c r="AQ51" s="84"/>
      <c r="AR51" s="85"/>
      <c r="AS51" s="1"/>
      <c r="AT51" s="1"/>
      <c r="AU51" s="1"/>
      <c r="AV51" s="1"/>
      <c r="AW51" s="1"/>
      <c r="AX51" s="1"/>
      <c r="AY51" s="1"/>
      <c r="AZ51" s="1"/>
      <c r="BA51" s="1"/>
    </row>
    <row r="52" spans="1:53" x14ac:dyDescent="0.25">
      <c r="A52" s="1"/>
      <c r="B52" s="1"/>
      <c r="C52" s="1"/>
      <c r="D52" s="1"/>
      <c r="E52" s="1"/>
      <c r="F52" s="11"/>
      <c r="G52" s="77">
        <v>0</v>
      </c>
      <c r="H52" s="53">
        <v>7</v>
      </c>
      <c r="I52" s="81">
        <f t="shared" si="22"/>
        <v>0</v>
      </c>
      <c r="J52" s="81">
        <f t="shared" si="22"/>
        <v>0</v>
      </c>
      <c r="K52" s="81">
        <f t="shared" si="22"/>
        <v>0</v>
      </c>
      <c r="L52" s="81">
        <f t="shared" si="22"/>
        <v>0</v>
      </c>
      <c r="M52" s="81">
        <f t="shared" si="22"/>
        <v>0</v>
      </c>
      <c r="N52" s="81">
        <f t="shared" si="22"/>
        <v>0</v>
      </c>
      <c r="O52" s="81">
        <f t="shared" si="22"/>
        <v>0</v>
      </c>
      <c r="P52" s="81">
        <f t="shared" si="22"/>
        <v>0</v>
      </c>
      <c r="Q52" s="81">
        <f t="shared" si="22"/>
        <v>0</v>
      </c>
      <c r="R52" s="81">
        <f t="shared" si="22"/>
        <v>0</v>
      </c>
      <c r="S52" s="81">
        <f t="shared" si="22"/>
        <v>0</v>
      </c>
      <c r="T52" s="81">
        <f t="shared" si="22"/>
        <v>0</v>
      </c>
      <c r="U52" s="81">
        <f t="shared" si="22"/>
        <v>0</v>
      </c>
      <c r="V52" s="84"/>
      <c r="W52" s="84"/>
      <c r="X52" s="85"/>
      <c r="Y52" s="1"/>
      <c r="Z52" s="11"/>
      <c r="AA52" s="77">
        <v>0</v>
      </c>
      <c r="AB52" s="53">
        <v>7</v>
      </c>
      <c r="AC52" s="81">
        <f t="shared" si="23"/>
        <v>0</v>
      </c>
      <c r="AD52" s="81">
        <f t="shared" si="24"/>
        <v>0</v>
      </c>
      <c r="AE52" s="81">
        <f t="shared" si="24"/>
        <v>0</v>
      </c>
      <c r="AF52" s="81">
        <f t="shared" si="24"/>
        <v>0</v>
      </c>
      <c r="AG52" s="81">
        <f t="shared" si="24"/>
        <v>0</v>
      </c>
      <c r="AH52" s="81">
        <f t="shared" si="24"/>
        <v>0</v>
      </c>
      <c r="AI52" s="81">
        <f t="shared" si="24"/>
        <v>0</v>
      </c>
      <c r="AJ52" s="81">
        <f t="shared" si="24"/>
        <v>0</v>
      </c>
      <c r="AK52" s="81">
        <f t="shared" si="24"/>
        <v>0</v>
      </c>
      <c r="AL52" s="81">
        <f t="shared" si="24"/>
        <v>0</v>
      </c>
      <c r="AM52" s="81">
        <f t="shared" si="24"/>
        <v>0</v>
      </c>
      <c r="AN52" s="81">
        <f t="shared" si="24"/>
        <v>0</v>
      </c>
      <c r="AO52" s="81">
        <f t="shared" si="24"/>
        <v>0</v>
      </c>
      <c r="AP52" s="84"/>
      <c r="AQ52" s="84"/>
      <c r="AR52" s="85"/>
      <c r="AS52" s="1"/>
      <c r="AT52" s="1"/>
      <c r="AU52" s="1"/>
      <c r="AV52" s="1"/>
      <c r="AW52" s="1"/>
      <c r="AX52" s="1"/>
      <c r="AY52" s="1"/>
      <c r="AZ52" s="1"/>
      <c r="BA52" s="1"/>
    </row>
    <row r="53" spans="1:53" x14ac:dyDescent="0.25">
      <c r="A53" s="1"/>
      <c r="B53" s="1"/>
      <c r="C53" s="1"/>
      <c r="D53" s="1"/>
      <c r="E53" s="1"/>
      <c r="F53" s="11"/>
      <c r="G53" s="77">
        <v>0</v>
      </c>
      <c r="H53" s="53">
        <v>7.5</v>
      </c>
      <c r="I53" s="81">
        <f t="shared" si="22"/>
        <v>0</v>
      </c>
      <c r="J53" s="81">
        <f t="shared" si="22"/>
        <v>0</v>
      </c>
      <c r="K53" s="81">
        <f t="shared" si="22"/>
        <v>0</v>
      </c>
      <c r="L53" s="81">
        <f t="shared" si="22"/>
        <v>0</v>
      </c>
      <c r="M53" s="81">
        <f t="shared" si="22"/>
        <v>0</v>
      </c>
      <c r="N53" s="81">
        <f t="shared" si="22"/>
        <v>0</v>
      </c>
      <c r="O53" s="81">
        <f t="shared" si="22"/>
        <v>0</v>
      </c>
      <c r="P53" s="81">
        <f t="shared" si="22"/>
        <v>0</v>
      </c>
      <c r="Q53" s="81">
        <f t="shared" si="22"/>
        <v>0</v>
      </c>
      <c r="R53" s="81">
        <f t="shared" si="22"/>
        <v>0</v>
      </c>
      <c r="S53" s="81">
        <f t="shared" si="22"/>
        <v>0</v>
      </c>
      <c r="T53" s="81">
        <f t="shared" si="22"/>
        <v>0</v>
      </c>
      <c r="U53" s="81">
        <f t="shared" si="22"/>
        <v>0</v>
      </c>
      <c r="V53" s="81">
        <f t="shared" si="22"/>
        <v>0</v>
      </c>
      <c r="W53" s="84"/>
      <c r="X53" s="85"/>
      <c r="Y53" s="1"/>
      <c r="Z53" s="11"/>
      <c r="AA53" s="77">
        <v>0</v>
      </c>
      <c r="AB53" s="53">
        <v>7.5</v>
      </c>
      <c r="AC53" s="81">
        <f t="shared" si="23"/>
        <v>0</v>
      </c>
      <c r="AD53" s="81">
        <f t="shared" si="24"/>
        <v>0</v>
      </c>
      <c r="AE53" s="81">
        <f t="shared" si="24"/>
        <v>0</v>
      </c>
      <c r="AF53" s="81">
        <f t="shared" si="24"/>
        <v>0</v>
      </c>
      <c r="AG53" s="81">
        <f t="shared" si="24"/>
        <v>0</v>
      </c>
      <c r="AH53" s="81">
        <f t="shared" si="24"/>
        <v>0</v>
      </c>
      <c r="AI53" s="81">
        <f t="shared" si="24"/>
        <v>0</v>
      </c>
      <c r="AJ53" s="81">
        <f t="shared" si="24"/>
        <v>0</v>
      </c>
      <c r="AK53" s="81">
        <f t="shared" si="24"/>
        <v>0</v>
      </c>
      <c r="AL53" s="81">
        <f t="shared" si="24"/>
        <v>0</v>
      </c>
      <c r="AM53" s="81">
        <f t="shared" si="24"/>
        <v>0</v>
      </c>
      <c r="AN53" s="81">
        <f t="shared" si="24"/>
        <v>0</v>
      </c>
      <c r="AO53" s="81">
        <f t="shared" si="24"/>
        <v>0</v>
      </c>
      <c r="AP53" s="81">
        <f t="shared" si="24"/>
        <v>0</v>
      </c>
      <c r="AQ53" s="84"/>
      <c r="AR53" s="85"/>
      <c r="AS53" s="1"/>
      <c r="AT53" s="1"/>
      <c r="AU53" s="1"/>
      <c r="AV53" s="1"/>
      <c r="AW53" s="1"/>
      <c r="AX53" s="1"/>
      <c r="AY53" s="1"/>
      <c r="AZ53" s="1"/>
      <c r="BA53" s="1"/>
    </row>
    <row r="54" spans="1:53" ht="15.75" thickBot="1" x14ac:dyDescent="0.3">
      <c r="A54" s="1"/>
      <c r="B54" s="1"/>
      <c r="C54" s="1"/>
      <c r="D54" s="1"/>
      <c r="E54" s="1"/>
      <c r="F54" s="13"/>
      <c r="G54" s="80">
        <v>0</v>
      </c>
      <c r="H54" s="56">
        <v>8</v>
      </c>
      <c r="I54" s="82">
        <f t="shared" si="22"/>
        <v>0</v>
      </c>
      <c r="J54" s="82">
        <f t="shared" si="22"/>
        <v>0</v>
      </c>
      <c r="K54" s="82">
        <f t="shared" si="22"/>
        <v>0</v>
      </c>
      <c r="L54" s="82">
        <f t="shared" si="22"/>
        <v>0</v>
      </c>
      <c r="M54" s="82">
        <f t="shared" si="22"/>
        <v>0</v>
      </c>
      <c r="N54" s="82">
        <f t="shared" si="22"/>
        <v>0</v>
      </c>
      <c r="O54" s="82">
        <f t="shared" si="22"/>
        <v>0</v>
      </c>
      <c r="P54" s="82">
        <f t="shared" si="22"/>
        <v>0</v>
      </c>
      <c r="Q54" s="82">
        <f t="shared" si="22"/>
        <v>0</v>
      </c>
      <c r="R54" s="82">
        <f t="shared" si="22"/>
        <v>0</v>
      </c>
      <c r="S54" s="82">
        <f t="shared" si="22"/>
        <v>0</v>
      </c>
      <c r="T54" s="82">
        <f t="shared" si="22"/>
        <v>0</v>
      </c>
      <c r="U54" s="82">
        <f t="shared" si="22"/>
        <v>0</v>
      </c>
      <c r="V54" s="82">
        <f t="shared" si="22"/>
        <v>0</v>
      </c>
      <c r="W54" s="82">
        <f t="shared" si="22"/>
        <v>0</v>
      </c>
      <c r="X54" s="86"/>
      <c r="Y54" s="1"/>
      <c r="Z54" s="13"/>
      <c r="AA54" s="80">
        <v>0</v>
      </c>
      <c r="AB54" s="56">
        <v>8</v>
      </c>
      <c r="AC54" s="82">
        <f t="shared" si="23"/>
        <v>0</v>
      </c>
      <c r="AD54" s="82">
        <f t="shared" si="24"/>
        <v>0</v>
      </c>
      <c r="AE54" s="82">
        <f t="shared" si="24"/>
        <v>0</v>
      </c>
      <c r="AF54" s="82">
        <f t="shared" si="24"/>
        <v>0</v>
      </c>
      <c r="AG54" s="82">
        <f t="shared" si="24"/>
        <v>0</v>
      </c>
      <c r="AH54" s="82">
        <f t="shared" si="24"/>
        <v>0</v>
      </c>
      <c r="AI54" s="82">
        <f t="shared" si="24"/>
        <v>0</v>
      </c>
      <c r="AJ54" s="82">
        <f t="shared" si="24"/>
        <v>0</v>
      </c>
      <c r="AK54" s="82">
        <f t="shared" si="24"/>
        <v>0</v>
      </c>
      <c r="AL54" s="82">
        <f t="shared" si="24"/>
        <v>0</v>
      </c>
      <c r="AM54" s="82">
        <f t="shared" si="24"/>
        <v>0</v>
      </c>
      <c r="AN54" s="82">
        <f t="shared" si="24"/>
        <v>0</v>
      </c>
      <c r="AO54" s="82">
        <f t="shared" si="24"/>
        <v>0</v>
      </c>
      <c r="AP54" s="82">
        <f t="shared" si="24"/>
        <v>0</v>
      </c>
      <c r="AQ54" s="82">
        <f t="shared" si="24"/>
        <v>0</v>
      </c>
      <c r="AR54" s="86"/>
      <c r="AS54" s="1"/>
      <c r="AT54" s="1"/>
      <c r="AU54" s="1"/>
      <c r="AV54" s="1"/>
      <c r="AW54" s="1"/>
      <c r="AX54" s="1"/>
      <c r="AY54" s="1"/>
      <c r="AZ54" s="1"/>
      <c r="BA54" s="1"/>
    </row>
    <row r="55" spans="1:53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</row>
    <row r="56" spans="1:53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</row>
    <row r="57" spans="1:53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</row>
    <row r="58" spans="1:53" ht="29.25" thickBot="1" x14ac:dyDescent="0.5">
      <c r="A58" s="1"/>
      <c r="B58" s="1"/>
      <c r="C58" s="1"/>
      <c r="D58" s="1"/>
      <c r="E58" s="1"/>
      <c r="F58" s="133" t="s">
        <v>160</v>
      </c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</row>
    <row r="59" spans="1:53" x14ac:dyDescent="0.25">
      <c r="A59" s="1"/>
      <c r="B59" s="1"/>
      <c r="C59" s="1"/>
      <c r="D59" s="1"/>
      <c r="E59" s="1"/>
      <c r="F59" s="49" t="s">
        <v>149</v>
      </c>
      <c r="G59" s="9"/>
      <c r="H59" s="50">
        <f>H8</f>
        <v>0.5</v>
      </c>
      <c r="I59" s="50">
        <f t="shared" ref="I59:W59" si="25">I8</f>
        <v>1</v>
      </c>
      <c r="J59" s="50">
        <f t="shared" si="25"/>
        <v>1.5</v>
      </c>
      <c r="K59" s="50">
        <f t="shared" si="25"/>
        <v>2</v>
      </c>
      <c r="L59" s="50">
        <f t="shared" si="25"/>
        <v>2.5</v>
      </c>
      <c r="M59" s="50">
        <f t="shared" si="25"/>
        <v>3</v>
      </c>
      <c r="N59" s="50">
        <f t="shared" si="25"/>
        <v>3.5</v>
      </c>
      <c r="O59" s="50">
        <f t="shared" si="25"/>
        <v>4</v>
      </c>
      <c r="P59" s="50">
        <f t="shared" si="25"/>
        <v>4.5</v>
      </c>
      <c r="Q59" s="50">
        <f t="shared" si="25"/>
        <v>5</v>
      </c>
      <c r="R59" s="50">
        <f t="shared" si="25"/>
        <v>5.5</v>
      </c>
      <c r="S59" s="50">
        <f t="shared" si="25"/>
        <v>6</v>
      </c>
      <c r="T59" s="50">
        <f t="shared" si="25"/>
        <v>6.5</v>
      </c>
      <c r="U59" s="50">
        <f t="shared" si="25"/>
        <v>7</v>
      </c>
      <c r="V59" s="50">
        <f t="shared" si="25"/>
        <v>7.5</v>
      </c>
      <c r="W59" s="51">
        <f t="shared" si="25"/>
        <v>8</v>
      </c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</row>
    <row r="60" spans="1:53" x14ac:dyDescent="0.25">
      <c r="A60" s="1"/>
      <c r="B60" s="1"/>
      <c r="C60" s="1"/>
      <c r="D60" s="1"/>
      <c r="E60" s="1"/>
      <c r="F60" s="52" t="s">
        <v>159</v>
      </c>
      <c r="G60" s="1"/>
      <c r="H60" s="53">
        <v>1</v>
      </c>
      <c r="I60" s="53">
        <v>2</v>
      </c>
      <c r="J60" s="53">
        <v>3</v>
      </c>
      <c r="K60" s="53">
        <v>4</v>
      </c>
      <c r="L60" s="53">
        <v>5</v>
      </c>
      <c r="M60" s="53">
        <v>6</v>
      </c>
      <c r="N60" s="53">
        <v>7</v>
      </c>
      <c r="O60" s="53">
        <v>8</v>
      </c>
      <c r="P60" s="53">
        <v>9</v>
      </c>
      <c r="Q60" s="53">
        <v>10</v>
      </c>
      <c r="R60" s="53">
        <v>11</v>
      </c>
      <c r="S60" s="53">
        <v>12</v>
      </c>
      <c r="T60" s="53">
        <v>13</v>
      </c>
      <c r="U60" s="53">
        <v>14</v>
      </c>
      <c r="V60" s="53">
        <v>15</v>
      </c>
      <c r="W60" s="54">
        <v>16</v>
      </c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</row>
    <row r="61" spans="1:53" x14ac:dyDescent="0.25">
      <c r="A61" s="1"/>
      <c r="B61" s="1"/>
      <c r="C61" s="1"/>
      <c r="D61" s="1"/>
      <c r="E61" s="1"/>
      <c r="F61" s="52" t="s">
        <v>5</v>
      </c>
      <c r="G61" s="1"/>
      <c r="H61" s="53">
        <f>IF(AND($D$17&lt;=H$59, H$59&lt;=$D$18),$D$7,0)</f>
        <v>0</v>
      </c>
      <c r="I61" s="53">
        <f>IF(AND($D$17&lt;=I$59, I$59&lt;=$D$18),$D$7,0)</f>
        <v>200000</v>
      </c>
      <c r="J61" s="53">
        <f t="shared" ref="J61:W61" si="26">IF(AND($D$17&lt;=J$59, J$59&lt;=$D$18),$D$7,0)</f>
        <v>200000</v>
      </c>
      <c r="K61" s="53">
        <f t="shared" si="26"/>
        <v>0</v>
      </c>
      <c r="L61" s="53">
        <f t="shared" si="26"/>
        <v>0</v>
      </c>
      <c r="M61" s="53">
        <f t="shared" si="26"/>
        <v>0</v>
      </c>
      <c r="N61" s="53">
        <f t="shared" si="26"/>
        <v>0</v>
      </c>
      <c r="O61" s="53">
        <f t="shared" si="26"/>
        <v>0</v>
      </c>
      <c r="P61" s="53">
        <f t="shared" si="26"/>
        <v>0</v>
      </c>
      <c r="Q61" s="53">
        <f t="shared" si="26"/>
        <v>0</v>
      </c>
      <c r="R61" s="53">
        <f t="shared" si="26"/>
        <v>0</v>
      </c>
      <c r="S61" s="53">
        <f t="shared" si="26"/>
        <v>0</v>
      </c>
      <c r="T61" s="53">
        <f t="shared" si="26"/>
        <v>0</v>
      </c>
      <c r="U61" s="53">
        <f t="shared" si="26"/>
        <v>0</v>
      </c>
      <c r="V61" s="53">
        <f t="shared" si="26"/>
        <v>0</v>
      </c>
      <c r="W61" s="54">
        <f t="shared" si="26"/>
        <v>0</v>
      </c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</row>
    <row r="62" spans="1:53" x14ac:dyDescent="0.25">
      <c r="A62" s="1"/>
      <c r="B62" s="1"/>
      <c r="C62" s="1"/>
      <c r="D62" s="1"/>
      <c r="E62" s="1"/>
      <c r="F62" s="52" t="s">
        <v>20</v>
      </c>
      <c r="G62" s="1"/>
      <c r="H62" s="53">
        <f>IF(AND($D$17&lt;=H$59, H$59&lt;=$D$18),$D$9,0)</f>
        <v>0</v>
      </c>
      <c r="I62" s="53">
        <f t="shared" ref="I62:W62" si="27">IF(AND($D$17&lt;=I$59, I$59&lt;=$D$18),$D$9,0)</f>
        <v>0.5</v>
      </c>
      <c r="J62" s="53">
        <f t="shared" si="27"/>
        <v>0.5</v>
      </c>
      <c r="K62" s="53">
        <f t="shared" si="27"/>
        <v>0</v>
      </c>
      <c r="L62" s="53">
        <f t="shared" si="27"/>
        <v>0</v>
      </c>
      <c r="M62" s="53">
        <f t="shared" si="27"/>
        <v>0</v>
      </c>
      <c r="N62" s="53">
        <f t="shared" si="27"/>
        <v>0</v>
      </c>
      <c r="O62" s="53">
        <f t="shared" si="27"/>
        <v>0</v>
      </c>
      <c r="P62" s="53">
        <f t="shared" si="27"/>
        <v>0</v>
      </c>
      <c r="Q62" s="53">
        <f t="shared" si="27"/>
        <v>0</v>
      </c>
      <c r="R62" s="53">
        <f t="shared" si="27"/>
        <v>0</v>
      </c>
      <c r="S62" s="53">
        <f t="shared" si="27"/>
        <v>0</v>
      </c>
      <c r="T62" s="53">
        <f t="shared" si="27"/>
        <v>0</v>
      </c>
      <c r="U62" s="53">
        <f t="shared" si="27"/>
        <v>0</v>
      </c>
      <c r="V62" s="53">
        <f t="shared" si="27"/>
        <v>0</v>
      </c>
      <c r="W62" s="54">
        <f t="shared" si="27"/>
        <v>0</v>
      </c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</row>
    <row r="63" spans="1:53" x14ac:dyDescent="0.25">
      <c r="A63" s="1"/>
      <c r="B63" s="1"/>
      <c r="C63" s="1"/>
      <c r="D63" s="1"/>
      <c r="E63" s="1"/>
      <c r="F63" s="52" t="s">
        <v>9</v>
      </c>
      <c r="G63" s="1"/>
      <c r="H63" s="53">
        <f>IF(AND($D$17&lt;=H$59, H$59&lt;=$D$18),$D$8,0)</f>
        <v>0</v>
      </c>
      <c r="I63" s="53">
        <f t="shared" ref="I63:W63" si="28">IF(AND($D$17&lt;=I$59, I$59&lt;=$D$18),$D$8,0)</f>
        <v>2</v>
      </c>
      <c r="J63" s="53">
        <f t="shared" si="28"/>
        <v>2</v>
      </c>
      <c r="K63" s="53">
        <f t="shared" si="28"/>
        <v>0</v>
      </c>
      <c r="L63" s="53">
        <f t="shared" si="28"/>
        <v>0</v>
      </c>
      <c r="M63" s="53">
        <f t="shared" si="28"/>
        <v>0</v>
      </c>
      <c r="N63" s="53">
        <f t="shared" si="28"/>
        <v>0</v>
      </c>
      <c r="O63" s="53">
        <f t="shared" si="28"/>
        <v>0</v>
      </c>
      <c r="P63" s="53">
        <f t="shared" si="28"/>
        <v>0</v>
      </c>
      <c r="Q63" s="53">
        <f t="shared" si="28"/>
        <v>0</v>
      </c>
      <c r="R63" s="53">
        <f t="shared" si="28"/>
        <v>0</v>
      </c>
      <c r="S63" s="53">
        <f t="shared" si="28"/>
        <v>0</v>
      </c>
      <c r="T63" s="53">
        <f t="shared" si="28"/>
        <v>0</v>
      </c>
      <c r="U63" s="53">
        <f t="shared" si="28"/>
        <v>0</v>
      </c>
      <c r="V63" s="53">
        <f t="shared" si="28"/>
        <v>0</v>
      </c>
      <c r="W63" s="54">
        <f t="shared" si="28"/>
        <v>0</v>
      </c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</row>
    <row r="64" spans="1:53" x14ac:dyDescent="0.25">
      <c r="A64" s="1"/>
      <c r="B64" s="1"/>
      <c r="C64" s="1"/>
      <c r="D64" s="1"/>
      <c r="E64" s="1"/>
      <c r="F64" s="52" t="s">
        <v>161</v>
      </c>
      <c r="G64" s="1"/>
      <c r="H64" s="53">
        <f>IF(AND($D$17&lt;=H$59, H$59&lt;=$D$18),$D$11,0)</f>
        <v>0</v>
      </c>
      <c r="I64" s="53">
        <f t="shared" ref="I64:W64" si="29">IF(AND($D$17&lt;=I$59, I$59&lt;=$D$18),$D$11,0)</f>
        <v>4.5999999999999999E-2</v>
      </c>
      <c r="J64" s="53">
        <f t="shared" si="29"/>
        <v>4.5999999999999999E-2</v>
      </c>
      <c r="K64" s="53">
        <f t="shared" si="29"/>
        <v>0</v>
      </c>
      <c r="L64" s="53">
        <f t="shared" si="29"/>
        <v>0</v>
      </c>
      <c r="M64" s="53">
        <f t="shared" si="29"/>
        <v>0</v>
      </c>
      <c r="N64" s="53">
        <f t="shared" si="29"/>
        <v>0</v>
      </c>
      <c r="O64" s="53">
        <f t="shared" si="29"/>
        <v>0</v>
      </c>
      <c r="P64" s="53">
        <f t="shared" si="29"/>
        <v>0</v>
      </c>
      <c r="Q64" s="53">
        <f t="shared" si="29"/>
        <v>0</v>
      </c>
      <c r="R64" s="53">
        <f t="shared" si="29"/>
        <v>0</v>
      </c>
      <c r="S64" s="53">
        <f t="shared" si="29"/>
        <v>0</v>
      </c>
      <c r="T64" s="53">
        <f t="shared" si="29"/>
        <v>0</v>
      </c>
      <c r="U64" s="53">
        <f t="shared" si="29"/>
        <v>0</v>
      </c>
      <c r="V64" s="53">
        <f t="shared" si="29"/>
        <v>0</v>
      </c>
      <c r="W64" s="54">
        <f t="shared" si="29"/>
        <v>0</v>
      </c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</row>
    <row r="65" spans="1:53" x14ac:dyDescent="0.25">
      <c r="A65" s="1"/>
      <c r="B65" s="1"/>
      <c r="C65" s="1"/>
      <c r="D65" s="1"/>
      <c r="E65" s="1"/>
      <c r="F65" s="52" t="s">
        <v>162</v>
      </c>
      <c r="G65" s="1"/>
      <c r="H65" s="53">
        <f>IF(AND($D$17&lt;=H$59, H$59&lt;=$D$18), G8, 0)</f>
        <v>0</v>
      </c>
      <c r="I65" s="53">
        <f t="shared" ref="I65:W65" si="30">IF(AND($D$17&lt;=I$59, I$59&lt;=$D$18), H8, 0)</f>
        <v>0.5</v>
      </c>
      <c r="J65" s="53">
        <f t="shared" si="30"/>
        <v>1</v>
      </c>
      <c r="K65" s="53">
        <f t="shared" si="30"/>
        <v>0</v>
      </c>
      <c r="L65" s="53">
        <f t="shared" si="30"/>
        <v>0</v>
      </c>
      <c r="M65" s="53">
        <f t="shared" si="30"/>
        <v>0</v>
      </c>
      <c r="N65" s="53">
        <f t="shared" si="30"/>
        <v>0</v>
      </c>
      <c r="O65" s="53">
        <f t="shared" si="30"/>
        <v>0</v>
      </c>
      <c r="P65" s="53">
        <f t="shared" si="30"/>
        <v>0</v>
      </c>
      <c r="Q65" s="53">
        <f t="shared" si="30"/>
        <v>0</v>
      </c>
      <c r="R65" s="53">
        <f t="shared" si="30"/>
        <v>0</v>
      </c>
      <c r="S65" s="53">
        <f t="shared" si="30"/>
        <v>0</v>
      </c>
      <c r="T65" s="53">
        <f t="shared" si="30"/>
        <v>0</v>
      </c>
      <c r="U65" s="53">
        <f t="shared" si="30"/>
        <v>0</v>
      </c>
      <c r="V65" s="53">
        <f t="shared" si="30"/>
        <v>0</v>
      </c>
      <c r="W65" s="54">
        <f t="shared" si="30"/>
        <v>0</v>
      </c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</row>
    <row r="66" spans="1:53" ht="15.75" thickBot="1" x14ac:dyDescent="0.3">
      <c r="A66" s="1"/>
      <c r="B66" s="1"/>
      <c r="C66" s="1"/>
      <c r="D66" s="1"/>
      <c r="E66" s="1"/>
      <c r="F66" s="55" t="s">
        <v>163</v>
      </c>
      <c r="G66" s="14"/>
      <c r="H66" s="56">
        <f>IF(AND($D$17&lt;=H$59, H$59&lt;=$D$18), $D$10, 0)</f>
        <v>0</v>
      </c>
      <c r="I66" s="56">
        <f t="shared" ref="I66:W66" si="31">IF(AND($D$17&lt;=I$59, I$59&lt;=$D$18), $D$10, 0)</f>
        <v>6.6000000000000003E-2</v>
      </c>
      <c r="J66" s="56">
        <f t="shared" si="31"/>
        <v>6.6000000000000003E-2</v>
      </c>
      <c r="K66" s="56">
        <f t="shared" si="31"/>
        <v>0</v>
      </c>
      <c r="L66" s="56">
        <f t="shared" si="31"/>
        <v>0</v>
      </c>
      <c r="M66" s="56">
        <f t="shared" si="31"/>
        <v>0</v>
      </c>
      <c r="N66" s="56">
        <f t="shared" si="31"/>
        <v>0</v>
      </c>
      <c r="O66" s="56">
        <f t="shared" si="31"/>
        <v>0</v>
      </c>
      <c r="P66" s="56">
        <f t="shared" si="31"/>
        <v>0</v>
      </c>
      <c r="Q66" s="56">
        <f t="shared" si="31"/>
        <v>0</v>
      </c>
      <c r="R66" s="56">
        <f t="shared" si="31"/>
        <v>0</v>
      </c>
      <c r="S66" s="56">
        <f t="shared" si="31"/>
        <v>0</v>
      </c>
      <c r="T66" s="56">
        <f t="shared" si="31"/>
        <v>0</v>
      </c>
      <c r="U66" s="56">
        <f t="shared" si="31"/>
        <v>0</v>
      </c>
      <c r="V66" s="56">
        <f t="shared" si="31"/>
        <v>0</v>
      </c>
      <c r="W66" s="132">
        <f t="shared" si="31"/>
        <v>0</v>
      </c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</row>
    <row r="67" spans="1:53" ht="15.75" thickBot="1" x14ac:dyDescent="0.3">
      <c r="A67" s="1"/>
      <c r="B67" s="1"/>
      <c r="C67" s="1"/>
      <c r="D67" s="1"/>
      <c r="E67" s="1"/>
      <c r="F67" s="128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</row>
    <row r="68" spans="1:53" x14ac:dyDescent="0.25">
      <c r="A68" s="1"/>
      <c r="B68" s="1"/>
      <c r="C68" s="1"/>
      <c r="D68" s="1"/>
      <c r="E68" s="1"/>
      <c r="F68" s="49" t="s">
        <v>164</v>
      </c>
      <c r="G68" s="9"/>
      <c r="H68" s="50">
        <f>H13</f>
        <v>0.97870000000000001</v>
      </c>
      <c r="I68" s="50">
        <f t="shared" ref="I68:W68" si="32">I13</f>
        <v>0.95709999999999995</v>
      </c>
      <c r="J68" s="50">
        <f t="shared" si="32"/>
        <v>0.93610000000000004</v>
      </c>
      <c r="K68" s="50">
        <f t="shared" si="32"/>
        <v>0</v>
      </c>
      <c r="L68" s="50">
        <f t="shared" si="32"/>
        <v>0</v>
      </c>
      <c r="M68" s="50">
        <f t="shared" si="32"/>
        <v>0</v>
      </c>
      <c r="N68" s="50">
        <f t="shared" si="32"/>
        <v>0</v>
      </c>
      <c r="O68" s="50">
        <f t="shared" si="32"/>
        <v>0</v>
      </c>
      <c r="P68" s="50">
        <f t="shared" si="32"/>
        <v>0</v>
      </c>
      <c r="Q68" s="50">
        <f t="shared" si="32"/>
        <v>0</v>
      </c>
      <c r="R68" s="50">
        <f t="shared" si="32"/>
        <v>0</v>
      </c>
      <c r="S68" s="50">
        <f t="shared" si="32"/>
        <v>0</v>
      </c>
      <c r="T68" s="50">
        <f t="shared" si="32"/>
        <v>0</v>
      </c>
      <c r="U68" s="50">
        <f t="shared" si="32"/>
        <v>0</v>
      </c>
      <c r="V68" s="50">
        <f t="shared" si="32"/>
        <v>0</v>
      </c>
      <c r="W68" s="51">
        <f t="shared" si="32"/>
        <v>0</v>
      </c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</row>
    <row r="69" spans="1:53" ht="15.75" thickBot="1" x14ac:dyDescent="0.3">
      <c r="A69" s="1"/>
      <c r="B69" s="1"/>
      <c r="C69" s="1"/>
      <c r="D69" s="1"/>
      <c r="E69" s="1"/>
      <c r="F69" s="55" t="s">
        <v>165</v>
      </c>
      <c r="G69" s="14"/>
      <c r="H69" s="56"/>
      <c r="I69" s="56">
        <f>AC40</f>
        <v>4.513634938877864E-2</v>
      </c>
      <c r="J69" s="56">
        <f>AD41</f>
        <v>4.4867001388740224E-2</v>
      </c>
      <c r="K69" s="56">
        <f>AE42</f>
        <v>0</v>
      </c>
      <c r="L69" s="56">
        <f>AF43</f>
        <v>0</v>
      </c>
      <c r="M69" s="56">
        <f>AG44</f>
        <v>0</v>
      </c>
      <c r="N69" s="56">
        <f>AH45</f>
        <v>0</v>
      </c>
      <c r="O69" s="56">
        <f>AI46</f>
        <v>0</v>
      </c>
      <c r="P69" s="56">
        <f>AJ47</f>
        <v>0</v>
      </c>
      <c r="Q69" s="56">
        <f>AK48</f>
        <v>0</v>
      </c>
      <c r="R69" s="56">
        <f>AL49</f>
        <v>0</v>
      </c>
      <c r="S69" s="56">
        <f>AM50</f>
        <v>0</v>
      </c>
      <c r="T69" s="56">
        <f>AN51</f>
        <v>0</v>
      </c>
      <c r="U69" s="56">
        <f>AO52</f>
        <v>0</v>
      </c>
      <c r="V69" s="56">
        <f>AP53</f>
        <v>0</v>
      </c>
      <c r="W69" s="132">
        <f>AQ54</f>
        <v>0</v>
      </c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</row>
    <row r="70" spans="1:53" ht="15.75" thickBot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</row>
    <row r="71" spans="1:53" x14ac:dyDescent="0.25">
      <c r="A71" s="1"/>
      <c r="B71" s="1"/>
      <c r="C71" s="1"/>
      <c r="D71" s="1"/>
      <c r="E71" s="1"/>
      <c r="F71" s="49" t="s">
        <v>166</v>
      </c>
      <c r="G71" s="9"/>
      <c r="H71" s="50"/>
      <c r="I71" s="50">
        <f>IF(I59&lt;=$D$18, (LN(I69/$I$64)+((I66^2)/2*(I65)))/(I66*SQRT(I65)), 0)</f>
        <v>-0.38279121587882903</v>
      </c>
      <c r="J71" s="50">
        <f t="shared" ref="J71:W71" si="33">IF(J59&lt;=$D$18, (LN(J69/$I$64)+((J66^2)/2*(J65)))/(J66*SQRT(J65)), 0)</f>
        <v>-0.34486072123174522</v>
      </c>
      <c r="K71" s="50">
        <f t="shared" si="33"/>
        <v>0</v>
      </c>
      <c r="L71" s="50">
        <f t="shared" si="33"/>
        <v>0</v>
      </c>
      <c r="M71" s="50">
        <f t="shared" si="33"/>
        <v>0</v>
      </c>
      <c r="N71" s="50">
        <f t="shared" si="33"/>
        <v>0</v>
      </c>
      <c r="O71" s="50">
        <f t="shared" si="33"/>
        <v>0</v>
      </c>
      <c r="P71" s="50">
        <f t="shared" si="33"/>
        <v>0</v>
      </c>
      <c r="Q71" s="50">
        <f t="shared" si="33"/>
        <v>0</v>
      </c>
      <c r="R71" s="50">
        <f t="shared" si="33"/>
        <v>0</v>
      </c>
      <c r="S71" s="50">
        <f t="shared" si="33"/>
        <v>0</v>
      </c>
      <c r="T71" s="50">
        <f t="shared" si="33"/>
        <v>0</v>
      </c>
      <c r="U71" s="50">
        <f t="shared" si="33"/>
        <v>0</v>
      </c>
      <c r="V71" s="50">
        <f t="shared" si="33"/>
        <v>0</v>
      </c>
      <c r="W71" s="51">
        <f t="shared" si="33"/>
        <v>0</v>
      </c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</row>
    <row r="72" spans="1:53" x14ac:dyDescent="0.25">
      <c r="A72" s="1"/>
      <c r="B72" s="1"/>
      <c r="C72" s="1"/>
      <c r="D72" s="1"/>
      <c r="E72" s="1"/>
      <c r="F72" s="52" t="s">
        <v>167</v>
      </c>
      <c r="G72" s="1"/>
      <c r="H72" s="53"/>
      <c r="I72" s="53">
        <f>IF(I59&lt;=$D$18, I71-I66*SQRT(I65), 0)</f>
        <v>-0.42946026343714117</v>
      </c>
      <c r="J72" s="53">
        <f t="shared" ref="J72:W72" si="34">IF(J59&lt;=$D$18, J71-J66*SQRT(J65), 0)</f>
        <v>-0.41086072123174522</v>
      </c>
      <c r="K72" s="53">
        <f t="shared" si="34"/>
        <v>0</v>
      </c>
      <c r="L72" s="53">
        <f t="shared" si="34"/>
        <v>0</v>
      </c>
      <c r="M72" s="53">
        <f t="shared" si="34"/>
        <v>0</v>
      </c>
      <c r="N72" s="53">
        <f t="shared" si="34"/>
        <v>0</v>
      </c>
      <c r="O72" s="53">
        <f t="shared" si="34"/>
        <v>0</v>
      </c>
      <c r="P72" s="53">
        <f t="shared" si="34"/>
        <v>0</v>
      </c>
      <c r="Q72" s="53">
        <f t="shared" si="34"/>
        <v>0</v>
      </c>
      <c r="R72" s="53">
        <f t="shared" si="34"/>
        <v>0</v>
      </c>
      <c r="S72" s="53">
        <f t="shared" si="34"/>
        <v>0</v>
      </c>
      <c r="T72" s="53">
        <f t="shared" si="34"/>
        <v>0</v>
      </c>
      <c r="U72" s="53">
        <f t="shared" si="34"/>
        <v>0</v>
      </c>
      <c r="V72" s="53">
        <f t="shared" si="34"/>
        <v>0</v>
      </c>
      <c r="W72" s="54">
        <f t="shared" si="34"/>
        <v>0</v>
      </c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</row>
    <row r="73" spans="1:53" x14ac:dyDescent="0.25">
      <c r="A73" s="1"/>
      <c r="B73" s="1"/>
      <c r="C73" s="1"/>
      <c r="D73" s="1"/>
      <c r="E73" s="1"/>
      <c r="F73" s="52" t="s">
        <v>168</v>
      </c>
      <c r="G73" s="1"/>
      <c r="H73" s="53"/>
      <c r="I73" s="53">
        <f>IF(I59&lt;=$D$18, _xlfn.NORM.S.DIST(I71, TRUE), 0)</f>
        <v>0.35093728753154602</v>
      </c>
      <c r="J73" s="53">
        <f t="shared" ref="J73:W73" si="35">IF(J59&lt;=$D$18, _xlfn.NORM.S.DIST(J71, TRUE), 0)</f>
        <v>0.36509954052272364</v>
      </c>
      <c r="K73" s="53">
        <f t="shared" si="35"/>
        <v>0</v>
      </c>
      <c r="L73" s="53">
        <f t="shared" si="35"/>
        <v>0</v>
      </c>
      <c r="M73" s="53">
        <f t="shared" si="35"/>
        <v>0</v>
      </c>
      <c r="N73" s="53">
        <f t="shared" si="35"/>
        <v>0</v>
      </c>
      <c r="O73" s="53">
        <f t="shared" si="35"/>
        <v>0</v>
      </c>
      <c r="P73" s="53">
        <f t="shared" si="35"/>
        <v>0</v>
      </c>
      <c r="Q73" s="53">
        <f t="shared" si="35"/>
        <v>0</v>
      </c>
      <c r="R73" s="53">
        <f t="shared" si="35"/>
        <v>0</v>
      </c>
      <c r="S73" s="53">
        <f t="shared" si="35"/>
        <v>0</v>
      </c>
      <c r="T73" s="53">
        <f t="shared" si="35"/>
        <v>0</v>
      </c>
      <c r="U73" s="53">
        <f t="shared" si="35"/>
        <v>0</v>
      </c>
      <c r="V73" s="53">
        <f t="shared" si="35"/>
        <v>0</v>
      </c>
      <c r="W73" s="54">
        <f t="shared" si="35"/>
        <v>0</v>
      </c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</row>
    <row r="74" spans="1:53" ht="15.75" thickBot="1" x14ac:dyDescent="0.3">
      <c r="A74" s="1"/>
      <c r="B74" s="1"/>
      <c r="C74" s="1"/>
      <c r="D74" s="1"/>
      <c r="E74" s="1"/>
      <c r="F74" s="55" t="s">
        <v>169</v>
      </c>
      <c r="G74" s="14"/>
      <c r="H74" s="56"/>
      <c r="I74" s="56">
        <f>IF(I59&lt;= $D$18, _xlfn.NORM.S.DIST(I72, TRUE), 0)</f>
        <v>0.33379415289663533</v>
      </c>
      <c r="J74" s="56">
        <f t="shared" ref="J74:W74" si="36">IF(J59&lt;= $D$18, _xlfn.NORM.S.DIST(J72, TRUE), 0)</f>
        <v>0.34058733274448194</v>
      </c>
      <c r="K74" s="56">
        <f t="shared" si="36"/>
        <v>0</v>
      </c>
      <c r="L74" s="56">
        <f t="shared" si="36"/>
        <v>0</v>
      </c>
      <c r="M74" s="56">
        <f t="shared" si="36"/>
        <v>0</v>
      </c>
      <c r="N74" s="56">
        <f t="shared" si="36"/>
        <v>0</v>
      </c>
      <c r="O74" s="56">
        <f t="shared" si="36"/>
        <v>0</v>
      </c>
      <c r="P74" s="56">
        <f t="shared" si="36"/>
        <v>0</v>
      </c>
      <c r="Q74" s="56">
        <f t="shared" si="36"/>
        <v>0</v>
      </c>
      <c r="R74" s="56">
        <f t="shared" si="36"/>
        <v>0</v>
      </c>
      <c r="S74" s="56">
        <f t="shared" si="36"/>
        <v>0</v>
      </c>
      <c r="T74" s="56">
        <f t="shared" si="36"/>
        <v>0</v>
      </c>
      <c r="U74" s="56">
        <f t="shared" si="36"/>
        <v>0</v>
      </c>
      <c r="V74" s="56">
        <f t="shared" si="36"/>
        <v>0</v>
      </c>
      <c r="W74" s="132">
        <f t="shared" si="36"/>
        <v>0</v>
      </c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</row>
    <row r="75" spans="1:53" ht="15.75" thickBot="1" x14ac:dyDescent="0.3">
      <c r="A75" s="1"/>
      <c r="B75" s="1"/>
      <c r="C75" s="1"/>
      <c r="D75" s="1"/>
      <c r="E75" s="1"/>
      <c r="F75" s="128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</row>
    <row r="76" spans="1:53" x14ac:dyDescent="0.25">
      <c r="A76" s="1"/>
      <c r="B76" s="1"/>
      <c r="C76" s="1"/>
      <c r="D76" s="1"/>
      <c r="E76" s="1"/>
      <c r="F76" s="49" t="s">
        <v>170</v>
      </c>
      <c r="G76" s="9"/>
      <c r="H76" s="50"/>
      <c r="I76" s="50">
        <f>I61*I62*I68*(I69*I73-I64*I74)</f>
        <v>46.466916944379584</v>
      </c>
      <c r="J76" s="50">
        <f t="shared" ref="J76:W76" si="37">J61*J62*J68*(J69*J73-J64*J74)</f>
        <v>66.828580157725298</v>
      </c>
      <c r="K76" s="50">
        <f t="shared" si="37"/>
        <v>0</v>
      </c>
      <c r="L76" s="50">
        <f t="shared" si="37"/>
        <v>0</v>
      </c>
      <c r="M76" s="50">
        <f t="shared" si="37"/>
        <v>0</v>
      </c>
      <c r="N76" s="50">
        <f t="shared" si="37"/>
        <v>0</v>
      </c>
      <c r="O76" s="50">
        <f t="shared" si="37"/>
        <v>0</v>
      </c>
      <c r="P76" s="50">
        <f t="shared" si="37"/>
        <v>0</v>
      </c>
      <c r="Q76" s="50">
        <f t="shared" si="37"/>
        <v>0</v>
      </c>
      <c r="R76" s="50">
        <f t="shared" si="37"/>
        <v>0</v>
      </c>
      <c r="S76" s="50">
        <f t="shared" si="37"/>
        <v>0</v>
      </c>
      <c r="T76" s="50">
        <f t="shared" si="37"/>
        <v>0</v>
      </c>
      <c r="U76" s="50">
        <f t="shared" si="37"/>
        <v>0</v>
      </c>
      <c r="V76" s="50">
        <f t="shared" si="37"/>
        <v>0</v>
      </c>
      <c r="W76" s="51">
        <f t="shared" si="37"/>
        <v>0</v>
      </c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</row>
    <row r="77" spans="1:53" ht="15.75" thickBot="1" x14ac:dyDescent="0.3">
      <c r="A77" s="1"/>
      <c r="B77" s="1"/>
      <c r="C77" s="1"/>
      <c r="D77" s="1"/>
      <c r="E77" s="1"/>
      <c r="F77" s="55" t="s">
        <v>159</v>
      </c>
      <c r="G77" s="14"/>
      <c r="H77" s="56"/>
      <c r="I77" s="56">
        <f>I76-I61*I62*I68*(I69-I64)</f>
        <v>129.12691694437584</v>
      </c>
      <c r="J77" s="56">
        <f t="shared" ref="J77:W77" si="38">J76-J61*J62*J68*(J69-J64)</f>
        <v>172.88858015775284</v>
      </c>
      <c r="K77" s="56">
        <f t="shared" si="38"/>
        <v>0</v>
      </c>
      <c r="L77" s="56">
        <f t="shared" si="38"/>
        <v>0</v>
      </c>
      <c r="M77" s="56">
        <f t="shared" si="38"/>
        <v>0</v>
      </c>
      <c r="N77" s="56">
        <f t="shared" si="38"/>
        <v>0</v>
      </c>
      <c r="O77" s="56">
        <f t="shared" si="38"/>
        <v>0</v>
      </c>
      <c r="P77" s="56">
        <f t="shared" si="38"/>
        <v>0</v>
      </c>
      <c r="Q77" s="56">
        <f t="shared" si="38"/>
        <v>0</v>
      </c>
      <c r="R77" s="56">
        <f t="shared" si="38"/>
        <v>0</v>
      </c>
      <c r="S77" s="56">
        <f t="shared" si="38"/>
        <v>0</v>
      </c>
      <c r="T77" s="56">
        <f t="shared" si="38"/>
        <v>0</v>
      </c>
      <c r="U77" s="56">
        <f t="shared" si="38"/>
        <v>0</v>
      </c>
      <c r="V77" s="56">
        <f t="shared" si="38"/>
        <v>0</v>
      </c>
      <c r="W77" s="132">
        <f t="shared" si="38"/>
        <v>0</v>
      </c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</row>
    <row r="78" spans="1:53" ht="15.75" thickBo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</row>
    <row r="79" spans="1:53" x14ac:dyDescent="0.25">
      <c r="A79" s="1"/>
      <c r="B79" s="1"/>
      <c r="C79" s="1"/>
      <c r="D79" s="1"/>
      <c r="E79" s="1"/>
      <c r="F79" s="49" t="s">
        <v>171</v>
      </c>
      <c r="G79" s="134">
        <f>SUM(I77:W77)</f>
        <v>302.01549710212868</v>
      </c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</row>
    <row r="80" spans="1:53" ht="15.75" thickBot="1" x14ac:dyDescent="0.3">
      <c r="A80" s="1"/>
      <c r="B80" s="1"/>
      <c r="C80" s="1"/>
      <c r="D80" s="1"/>
      <c r="E80" s="1"/>
      <c r="F80" s="55" t="s">
        <v>172</v>
      </c>
      <c r="G80" s="135">
        <f>SUM(I76:W76)</f>
        <v>113.29549710210489</v>
      </c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</row>
    <row r="81" spans="1:53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</row>
    <row r="82" spans="1:53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</row>
    <row r="83" spans="1:53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</row>
    <row r="84" spans="1:53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</row>
    <row r="85" spans="1:53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</row>
    <row r="86" spans="1:53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</row>
    <row r="87" spans="1:53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</row>
    <row r="88" spans="1:53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</row>
    <row r="89" spans="1:53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</row>
    <row r="90" spans="1:53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</row>
    <row r="91" spans="1:53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</row>
    <row r="92" spans="1:53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</row>
    <row r="93" spans="1:53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</row>
    <row r="94" spans="1:53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</row>
    <row r="95" spans="1:53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</row>
    <row r="96" spans="1:53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</row>
    <row r="97" spans="1:53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</row>
    <row r="98" spans="1:53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</row>
    <row r="99" spans="1:53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</row>
    <row r="100" spans="1:53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</row>
    <row r="101" spans="1:53" x14ac:dyDescent="0.2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</row>
    <row r="102" spans="1:53" x14ac:dyDescent="0.2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</row>
    <row r="103" spans="1:53" x14ac:dyDescent="0.2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</row>
    <row r="104" spans="1:53" x14ac:dyDescent="0.2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</row>
    <row r="105" spans="1:53" x14ac:dyDescent="0.2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</row>
    <row r="106" spans="1:53" x14ac:dyDescent="0.25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</row>
    <row r="107" spans="1:53" x14ac:dyDescent="0.2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</row>
    <row r="108" spans="1:53" x14ac:dyDescent="0.2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</row>
    <row r="109" spans="1:53" x14ac:dyDescent="0.2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</row>
    <row r="110" spans="1:53" x14ac:dyDescent="0.2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</row>
    <row r="111" spans="1:53" x14ac:dyDescent="0.2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</row>
    <row r="112" spans="1:53" x14ac:dyDescent="0.2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</row>
    <row r="113" spans="1:53" x14ac:dyDescent="0.2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</row>
    <row r="114" spans="1:53" x14ac:dyDescent="0.2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</row>
    <row r="115" spans="1:53" x14ac:dyDescent="0.25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</row>
    <row r="116" spans="1:53" x14ac:dyDescent="0.2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</row>
    <row r="117" spans="1:53" x14ac:dyDescent="0.2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</row>
    <row r="118" spans="1:53" x14ac:dyDescent="0.25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</row>
    <row r="119" spans="1:53" x14ac:dyDescent="0.2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</row>
    <row r="120" spans="1:53" x14ac:dyDescent="0.2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</row>
    <row r="121" spans="1:53" x14ac:dyDescent="0.2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</row>
    <row r="122" spans="1:53" x14ac:dyDescent="0.25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</row>
    <row r="123" spans="1:53" x14ac:dyDescent="0.25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</row>
    <row r="124" spans="1:53" x14ac:dyDescent="0.2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</row>
    <row r="125" spans="1:53" x14ac:dyDescent="0.2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</row>
    <row r="126" spans="1:53" x14ac:dyDescent="0.2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</row>
    <row r="127" spans="1:53" x14ac:dyDescent="0.2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</row>
    <row r="128" spans="1:53" x14ac:dyDescent="0.2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</row>
    <row r="129" spans="1:53" x14ac:dyDescent="0.2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</row>
    <row r="130" spans="1:53" x14ac:dyDescent="0.2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</row>
    <row r="131" spans="1:53" x14ac:dyDescent="0.2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</row>
    <row r="132" spans="1:53" x14ac:dyDescent="0.2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</row>
    <row r="133" spans="1:53" x14ac:dyDescent="0.2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</row>
    <row r="134" spans="1:53" x14ac:dyDescent="0.2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</row>
    <row r="135" spans="1:53" x14ac:dyDescent="0.2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</row>
    <row r="136" spans="1:53" x14ac:dyDescent="0.2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</row>
    <row r="137" spans="1:53" x14ac:dyDescent="0.2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</row>
    <row r="138" spans="1:53" x14ac:dyDescent="0.2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</row>
    <row r="139" spans="1:53" x14ac:dyDescent="0.2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</row>
    <row r="140" spans="1:53" x14ac:dyDescent="0.2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</row>
    <row r="141" spans="1:53" x14ac:dyDescent="0.2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</row>
    <row r="142" spans="1:53" x14ac:dyDescent="0.2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</row>
    <row r="143" spans="1:53" x14ac:dyDescent="0.2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</row>
    <row r="144" spans="1:53" x14ac:dyDescent="0.2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</row>
    <row r="145" spans="1:53" x14ac:dyDescent="0.2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</row>
    <row r="146" spans="1:53" x14ac:dyDescent="0.2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</row>
    <row r="147" spans="1:53" x14ac:dyDescent="0.2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</row>
    <row r="148" spans="1:53" x14ac:dyDescent="0.2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</row>
    <row r="149" spans="1:53" x14ac:dyDescent="0.2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</row>
    <row r="150" spans="1:53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</row>
    <row r="151" spans="1:53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</row>
    <row r="152" spans="1:53" x14ac:dyDescent="0.2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</row>
    <row r="153" spans="1:53" x14ac:dyDescent="0.2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</row>
    <row r="154" spans="1:53" x14ac:dyDescent="0.2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</row>
    <row r="155" spans="1:53" x14ac:dyDescent="0.2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</row>
    <row r="156" spans="1:53" x14ac:dyDescent="0.2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</row>
    <row r="157" spans="1:53" x14ac:dyDescent="0.2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</row>
    <row r="158" spans="1:53" x14ac:dyDescent="0.2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</row>
    <row r="159" spans="1:53" x14ac:dyDescent="0.2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</row>
    <row r="160" spans="1:53" x14ac:dyDescent="0.2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</row>
    <row r="161" spans="1:53" x14ac:dyDescent="0.2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</row>
    <row r="162" spans="1:53" x14ac:dyDescent="0.2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</row>
    <row r="163" spans="1:53" x14ac:dyDescent="0.2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</row>
    <row r="164" spans="1:53" x14ac:dyDescent="0.2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</row>
    <row r="165" spans="1:53" x14ac:dyDescent="0.2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</row>
    <row r="166" spans="1:53" x14ac:dyDescent="0.2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</row>
    <row r="167" spans="1:53" x14ac:dyDescent="0.2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</row>
    <row r="168" spans="1:53" x14ac:dyDescent="0.2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</row>
    <row r="169" spans="1:53" x14ac:dyDescent="0.2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</row>
    <row r="170" spans="1:53" x14ac:dyDescent="0.2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</row>
    <row r="171" spans="1:53" x14ac:dyDescent="0.2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</row>
    <row r="172" spans="1:53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</row>
    <row r="173" spans="1:53" x14ac:dyDescent="0.2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</row>
    <row r="174" spans="1:53" x14ac:dyDescent="0.2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</row>
    <row r="175" spans="1:53" x14ac:dyDescent="0.2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</row>
    <row r="176" spans="1:53" x14ac:dyDescent="0.2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</row>
    <row r="177" spans="1:53" x14ac:dyDescent="0.2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</row>
    <row r="178" spans="1:53" x14ac:dyDescent="0.2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</row>
    <row r="179" spans="1:53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</row>
    <row r="180" spans="1:53" x14ac:dyDescent="0.2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</row>
    <row r="181" spans="1:53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</row>
    <row r="182" spans="1:53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</row>
    <row r="183" spans="1:53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</row>
    <row r="184" spans="1:53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</row>
    <row r="185" spans="1:53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</row>
    <row r="186" spans="1:53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</row>
    <row r="187" spans="1:53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</row>
    <row r="188" spans="1:53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</row>
    <row r="189" spans="1:53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</row>
    <row r="190" spans="1:53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</row>
    <row r="191" spans="1:53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</row>
    <row r="192" spans="1:53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</row>
    <row r="193" spans="1:53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</row>
    <row r="194" spans="1:53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</row>
    <row r="195" spans="1:53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</row>
    <row r="196" spans="1:53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</row>
    <row r="197" spans="1:53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</row>
    <row r="198" spans="1:53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</row>
    <row r="199" spans="1:53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</row>
    <row r="200" spans="1:53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</row>
    <row r="201" spans="1:53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</row>
    <row r="202" spans="1:53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</row>
    <row r="203" spans="1:53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</row>
    <row r="204" spans="1:53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</row>
    <row r="205" spans="1:53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</row>
    <row r="206" spans="1:53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</row>
    <row r="207" spans="1:53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</row>
    <row r="208" spans="1:53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</row>
    <row r="209" spans="1:53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</row>
    <row r="210" spans="1:53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</row>
    <row r="211" spans="1:53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</row>
    <row r="212" spans="1:53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</row>
    <row r="213" spans="1:53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</row>
    <row r="214" spans="1:53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</row>
    <row r="215" spans="1:53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</row>
    <row r="216" spans="1:53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</row>
    <row r="217" spans="1:53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</row>
    <row r="218" spans="1:53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</row>
    <row r="219" spans="1:53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</row>
    <row r="220" spans="1:53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</row>
    <row r="221" spans="1:53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</row>
    <row r="222" spans="1:53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</row>
    <row r="223" spans="1:53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</row>
    <row r="224" spans="1:53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</row>
    <row r="225" spans="1:53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</row>
    <row r="226" spans="1:53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</row>
    <row r="227" spans="1:53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</row>
    <row r="228" spans="1:53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</row>
    <row r="229" spans="1:53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</row>
    <row r="230" spans="1:53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</row>
    <row r="231" spans="1:53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</row>
    <row r="232" spans="1:53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</row>
    <row r="233" spans="1:53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</row>
    <row r="234" spans="1:53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</row>
    <row r="235" spans="1:53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</row>
    <row r="236" spans="1:53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</row>
    <row r="237" spans="1:53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</row>
    <row r="238" spans="1:53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</row>
    <row r="239" spans="1:53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</row>
    <row r="240" spans="1:53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</row>
    <row r="241" spans="1:53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</row>
    <row r="242" spans="1:53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</row>
    <row r="243" spans="1:53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</row>
    <row r="244" spans="1:53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</row>
    <row r="245" spans="1:53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</row>
    <row r="246" spans="1:53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</row>
    <row r="247" spans="1:53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</row>
    <row r="248" spans="1:53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</row>
    <row r="249" spans="1:53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</row>
    <row r="250" spans="1:53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</row>
    <row r="251" spans="1:53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</row>
    <row r="252" spans="1:53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</row>
    <row r="253" spans="1:53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</row>
    <row r="254" spans="1:53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</row>
    <row r="255" spans="1:53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</row>
    <row r="256" spans="1:53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</row>
    <row r="257" spans="1:53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</row>
    <row r="258" spans="1:53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</row>
    <row r="259" spans="1:53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</row>
    <row r="260" spans="1:53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</row>
    <row r="261" spans="1:53" x14ac:dyDescent="0.2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  <c r="AB261" s="1"/>
      <c r="AC261" s="1"/>
      <c r="AD261" s="1"/>
      <c r="AE261" s="1"/>
      <c r="AF261" s="1"/>
      <c r="AG261" s="1"/>
      <c r="AH261" s="1"/>
      <c r="AI261" s="1"/>
      <c r="AJ261" s="1"/>
      <c r="AK261" s="1"/>
      <c r="AL261" s="1"/>
      <c r="AM261" s="1"/>
      <c r="AN261" s="1"/>
      <c r="AO261" s="1"/>
      <c r="AP261" s="1"/>
      <c r="AQ261" s="1"/>
      <c r="AR261" s="1"/>
      <c r="AS261" s="1"/>
      <c r="AT261" s="1"/>
      <c r="AU261" s="1"/>
      <c r="AV261" s="1"/>
      <c r="AW261" s="1"/>
      <c r="AX261" s="1"/>
      <c r="AY261" s="1"/>
      <c r="AZ261" s="1"/>
      <c r="BA261" s="1"/>
    </row>
    <row r="262" spans="1:53" x14ac:dyDescent="0.2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"/>
      <c r="AC262" s="1"/>
      <c r="AD262" s="1"/>
      <c r="AE262" s="1"/>
      <c r="AF262" s="1"/>
      <c r="AG262" s="1"/>
      <c r="AH262" s="1"/>
      <c r="AI262" s="1"/>
      <c r="AJ262" s="1"/>
      <c r="AK262" s="1"/>
      <c r="AL262" s="1"/>
      <c r="AM262" s="1"/>
      <c r="AN262" s="1"/>
      <c r="AO262" s="1"/>
      <c r="AP262" s="1"/>
      <c r="AQ262" s="1"/>
      <c r="AR262" s="1"/>
      <c r="AS262" s="1"/>
      <c r="AT262" s="1"/>
      <c r="AU262" s="1"/>
      <c r="AV262" s="1"/>
      <c r="AW262" s="1"/>
      <c r="AX262" s="1"/>
      <c r="AY262" s="1"/>
      <c r="AZ262" s="1"/>
      <c r="BA262" s="1"/>
    </row>
    <row r="263" spans="1:53" x14ac:dyDescent="0.2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  <c r="AB263" s="1"/>
      <c r="AC263" s="1"/>
      <c r="AD263" s="1"/>
      <c r="AE263" s="1"/>
      <c r="AF263" s="1"/>
      <c r="AG263" s="1"/>
      <c r="AH263" s="1"/>
      <c r="AI263" s="1"/>
      <c r="AJ263" s="1"/>
      <c r="AK263" s="1"/>
      <c r="AL263" s="1"/>
      <c r="AM263" s="1"/>
      <c r="AN263" s="1"/>
      <c r="AO263" s="1"/>
      <c r="AP263" s="1"/>
      <c r="AQ263" s="1"/>
      <c r="AR263" s="1"/>
      <c r="AS263" s="1"/>
      <c r="AT263" s="1"/>
      <c r="AU263" s="1"/>
      <c r="AV263" s="1"/>
      <c r="AW263" s="1"/>
      <c r="AX263" s="1"/>
      <c r="AY263" s="1"/>
      <c r="AZ263" s="1"/>
      <c r="BA263" s="1"/>
    </row>
    <row r="264" spans="1:53" x14ac:dyDescent="0.2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  <c r="AB264" s="1"/>
      <c r="AC264" s="1"/>
      <c r="AD264" s="1"/>
      <c r="AE264" s="1"/>
      <c r="AF264" s="1"/>
      <c r="AG264" s="1"/>
      <c r="AH264" s="1"/>
      <c r="AI264" s="1"/>
      <c r="AJ264" s="1"/>
      <c r="AK264" s="1"/>
      <c r="AL264" s="1"/>
      <c r="AM264" s="1"/>
      <c r="AN264" s="1"/>
      <c r="AO264" s="1"/>
      <c r="AP264" s="1"/>
      <c r="AQ264" s="1"/>
      <c r="AR264" s="1"/>
      <c r="AS264" s="1"/>
      <c r="AT264" s="1"/>
      <c r="AU264" s="1"/>
      <c r="AV264" s="1"/>
      <c r="AW264" s="1"/>
      <c r="AX264" s="1"/>
      <c r="AY264" s="1"/>
      <c r="AZ264" s="1"/>
      <c r="BA264" s="1"/>
    </row>
    <row r="265" spans="1:53" x14ac:dyDescent="0.2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"/>
      <c r="AC265" s="1"/>
      <c r="AD265" s="1"/>
      <c r="AE265" s="1"/>
      <c r="AF265" s="1"/>
      <c r="AG265" s="1"/>
      <c r="AH265" s="1"/>
      <c r="AI265" s="1"/>
      <c r="AJ265" s="1"/>
      <c r="AK265" s="1"/>
      <c r="AL265" s="1"/>
      <c r="AM265" s="1"/>
      <c r="AN265" s="1"/>
      <c r="AO265" s="1"/>
      <c r="AP265" s="1"/>
      <c r="AQ265" s="1"/>
      <c r="AR265" s="1"/>
      <c r="AS265" s="1"/>
      <c r="AT265" s="1"/>
      <c r="AU265" s="1"/>
      <c r="AV265" s="1"/>
      <c r="AW265" s="1"/>
      <c r="AX265" s="1"/>
      <c r="AY265" s="1"/>
      <c r="AZ265" s="1"/>
      <c r="BA265" s="1"/>
    </row>
    <row r="266" spans="1:53" x14ac:dyDescent="0.2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1"/>
      <c r="AC266" s="1"/>
      <c r="AD266" s="1"/>
      <c r="AE266" s="1"/>
      <c r="AF266" s="1"/>
      <c r="AG266" s="1"/>
      <c r="AH266" s="1"/>
      <c r="AI266" s="1"/>
      <c r="AJ266" s="1"/>
      <c r="AK266" s="1"/>
      <c r="AL266" s="1"/>
      <c r="AM266" s="1"/>
      <c r="AN266" s="1"/>
      <c r="AO266" s="1"/>
      <c r="AP266" s="1"/>
      <c r="AQ266" s="1"/>
      <c r="AR266" s="1"/>
      <c r="AS266" s="1"/>
      <c r="AT266" s="1"/>
      <c r="AU266" s="1"/>
      <c r="AV266" s="1"/>
      <c r="AW266" s="1"/>
      <c r="AX266" s="1"/>
      <c r="AY266" s="1"/>
      <c r="AZ266" s="1"/>
      <c r="BA266" s="1"/>
    </row>
    <row r="267" spans="1:53" x14ac:dyDescent="0.2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"/>
      <c r="AC267" s="1"/>
      <c r="AD267" s="1"/>
      <c r="AE267" s="1"/>
      <c r="AF267" s="1"/>
      <c r="AG267" s="1"/>
      <c r="AH267" s="1"/>
      <c r="AI267" s="1"/>
      <c r="AJ267" s="1"/>
      <c r="AK267" s="1"/>
      <c r="AL267" s="1"/>
      <c r="AM267" s="1"/>
      <c r="AN267" s="1"/>
      <c r="AO267" s="1"/>
      <c r="AP267" s="1"/>
      <c r="AQ267" s="1"/>
      <c r="AR267" s="1"/>
      <c r="AS267" s="1"/>
      <c r="AT267" s="1"/>
      <c r="AU267" s="1"/>
      <c r="AV267" s="1"/>
      <c r="AW267" s="1"/>
      <c r="AX267" s="1"/>
      <c r="AY267" s="1"/>
      <c r="AZ267" s="1"/>
      <c r="BA267" s="1"/>
    </row>
    <row r="268" spans="1:53" x14ac:dyDescent="0.2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  <c r="AB268" s="1"/>
      <c r="AC268" s="1"/>
      <c r="AD268" s="1"/>
      <c r="AE268" s="1"/>
      <c r="AF268" s="1"/>
      <c r="AG268" s="1"/>
      <c r="AH268" s="1"/>
      <c r="AI268" s="1"/>
      <c r="AJ268" s="1"/>
      <c r="AK268" s="1"/>
      <c r="AL268" s="1"/>
      <c r="AM268" s="1"/>
      <c r="AN268" s="1"/>
      <c r="AO268" s="1"/>
      <c r="AP268" s="1"/>
      <c r="AQ268" s="1"/>
      <c r="AR268" s="1"/>
      <c r="AS268" s="1"/>
      <c r="AT268" s="1"/>
      <c r="AU268" s="1"/>
      <c r="AV268" s="1"/>
      <c r="AW268" s="1"/>
      <c r="AX268" s="1"/>
      <c r="AY268" s="1"/>
      <c r="AZ268" s="1"/>
      <c r="BA268" s="1"/>
    </row>
    <row r="269" spans="1:53" x14ac:dyDescent="0.2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  <c r="AB269" s="1"/>
      <c r="AC269" s="1"/>
      <c r="AD269" s="1"/>
      <c r="AE269" s="1"/>
      <c r="AF269" s="1"/>
      <c r="AG269" s="1"/>
      <c r="AH269" s="1"/>
      <c r="AI269" s="1"/>
      <c r="AJ269" s="1"/>
      <c r="AK269" s="1"/>
      <c r="AL269" s="1"/>
      <c r="AM269" s="1"/>
      <c r="AN269" s="1"/>
      <c r="AO269" s="1"/>
      <c r="AP269" s="1"/>
      <c r="AQ269" s="1"/>
      <c r="AR269" s="1"/>
      <c r="AS269" s="1"/>
      <c r="AT269" s="1"/>
      <c r="AU269" s="1"/>
      <c r="AV269" s="1"/>
      <c r="AW269" s="1"/>
      <c r="AX269" s="1"/>
      <c r="AY269" s="1"/>
      <c r="AZ269" s="1"/>
      <c r="BA269" s="1"/>
    </row>
    <row r="270" spans="1:53" x14ac:dyDescent="0.2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  <c r="AB270" s="1"/>
      <c r="AC270" s="1"/>
      <c r="AD270" s="1"/>
      <c r="AE270" s="1"/>
      <c r="AF270" s="1"/>
      <c r="AG270" s="1"/>
      <c r="AH270" s="1"/>
      <c r="AI270" s="1"/>
      <c r="AJ270" s="1"/>
      <c r="AK270" s="1"/>
      <c r="AL270" s="1"/>
      <c r="AM270" s="1"/>
      <c r="AN270" s="1"/>
      <c r="AO270" s="1"/>
      <c r="AP270" s="1"/>
      <c r="AQ270" s="1"/>
      <c r="AR270" s="1"/>
      <c r="AS270" s="1"/>
      <c r="AT270" s="1"/>
      <c r="AU270" s="1"/>
      <c r="AV270" s="1"/>
      <c r="AW270" s="1"/>
      <c r="AX270" s="1"/>
      <c r="AY270" s="1"/>
      <c r="AZ270" s="1"/>
      <c r="BA270" s="1"/>
    </row>
    <row r="271" spans="1:53" x14ac:dyDescent="0.2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  <c r="AB271" s="1"/>
      <c r="AC271" s="1"/>
      <c r="AD271" s="1"/>
      <c r="AE271" s="1"/>
      <c r="AF271" s="1"/>
      <c r="AG271" s="1"/>
      <c r="AH271" s="1"/>
      <c r="AI271" s="1"/>
      <c r="AJ271" s="1"/>
      <c r="AK271" s="1"/>
      <c r="AL271" s="1"/>
      <c r="AM271" s="1"/>
      <c r="AN271" s="1"/>
      <c r="AO271" s="1"/>
      <c r="AP271" s="1"/>
      <c r="AQ271" s="1"/>
      <c r="AR271" s="1"/>
      <c r="AS271" s="1"/>
      <c r="AT271" s="1"/>
      <c r="AU271" s="1"/>
      <c r="AV271" s="1"/>
      <c r="AW271" s="1"/>
      <c r="AX271" s="1"/>
      <c r="AY271" s="1"/>
      <c r="AZ271" s="1"/>
      <c r="BA271" s="1"/>
    </row>
    <row r="272" spans="1:53" x14ac:dyDescent="0.2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  <c r="AB272" s="1"/>
      <c r="AC272" s="1"/>
      <c r="AD272" s="1"/>
      <c r="AE272" s="1"/>
      <c r="AF272" s="1"/>
      <c r="AG272" s="1"/>
      <c r="AH272" s="1"/>
      <c r="AI272" s="1"/>
      <c r="AJ272" s="1"/>
      <c r="AK272" s="1"/>
      <c r="AL272" s="1"/>
      <c r="AM272" s="1"/>
      <c r="AN272" s="1"/>
      <c r="AO272" s="1"/>
      <c r="AP272" s="1"/>
      <c r="AQ272" s="1"/>
      <c r="AR272" s="1"/>
      <c r="AS272" s="1"/>
      <c r="AT272" s="1"/>
      <c r="AU272" s="1"/>
      <c r="AV272" s="1"/>
      <c r="AW272" s="1"/>
      <c r="AX272" s="1"/>
      <c r="AY272" s="1"/>
      <c r="AZ272" s="1"/>
      <c r="BA272" s="1"/>
    </row>
    <row r="273" spans="1:53" x14ac:dyDescent="0.2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  <c r="AB273" s="1"/>
      <c r="AC273" s="1"/>
      <c r="AD273" s="1"/>
      <c r="AE273" s="1"/>
      <c r="AF273" s="1"/>
      <c r="AG273" s="1"/>
      <c r="AH273" s="1"/>
      <c r="AI273" s="1"/>
      <c r="AJ273" s="1"/>
      <c r="AK273" s="1"/>
      <c r="AL273" s="1"/>
      <c r="AM273" s="1"/>
      <c r="AN273" s="1"/>
      <c r="AO273" s="1"/>
      <c r="AP273" s="1"/>
      <c r="AQ273" s="1"/>
      <c r="AR273" s="1"/>
      <c r="AS273" s="1"/>
      <c r="AT273" s="1"/>
      <c r="AU273" s="1"/>
      <c r="AV273" s="1"/>
      <c r="AW273" s="1"/>
      <c r="AX273" s="1"/>
      <c r="AY273" s="1"/>
      <c r="AZ273" s="1"/>
      <c r="BA273" s="1"/>
    </row>
    <row r="274" spans="1:53" x14ac:dyDescent="0.2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  <c r="AB274" s="1"/>
      <c r="AC274" s="1"/>
      <c r="AD274" s="1"/>
      <c r="AE274" s="1"/>
      <c r="AF274" s="1"/>
      <c r="AG274" s="1"/>
      <c r="AH274" s="1"/>
      <c r="AI274" s="1"/>
      <c r="AJ274" s="1"/>
      <c r="AK274" s="1"/>
      <c r="AL274" s="1"/>
      <c r="AM274" s="1"/>
      <c r="AN274" s="1"/>
      <c r="AO274" s="1"/>
      <c r="AP274" s="1"/>
      <c r="AQ274" s="1"/>
      <c r="AR274" s="1"/>
      <c r="AS274" s="1"/>
      <c r="AT274" s="1"/>
      <c r="AU274" s="1"/>
      <c r="AV274" s="1"/>
      <c r="AW274" s="1"/>
      <c r="AX274" s="1"/>
      <c r="AY274" s="1"/>
      <c r="AZ274" s="1"/>
      <c r="BA274" s="1"/>
    </row>
    <row r="275" spans="1:53" x14ac:dyDescent="0.2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  <c r="AB275" s="1"/>
      <c r="AC275" s="1"/>
      <c r="AD275" s="1"/>
      <c r="AE275" s="1"/>
      <c r="AF275" s="1"/>
      <c r="AG275" s="1"/>
      <c r="AH275" s="1"/>
      <c r="AI275" s="1"/>
      <c r="AJ275" s="1"/>
      <c r="AK275" s="1"/>
      <c r="AL275" s="1"/>
      <c r="AM275" s="1"/>
      <c r="AN275" s="1"/>
      <c r="AO275" s="1"/>
      <c r="AP275" s="1"/>
      <c r="AQ275" s="1"/>
      <c r="AR275" s="1"/>
      <c r="AS275" s="1"/>
      <c r="AT275" s="1"/>
      <c r="AU275" s="1"/>
      <c r="AV275" s="1"/>
      <c r="AW275" s="1"/>
      <c r="AX275" s="1"/>
      <c r="AY275" s="1"/>
      <c r="AZ275" s="1"/>
      <c r="BA275" s="1"/>
    </row>
    <row r="276" spans="1:53" x14ac:dyDescent="0.2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  <c r="AB276" s="1"/>
      <c r="AC276" s="1"/>
      <c r="AD276" s="1"/>
      <c r="AE276" s="1"/>
      <c r="AF276" s="1"/>
      <c r="AG276" s="1"/>
      <c r="AH276" s="1"/>
      <c r="AI276" s="1"/>
      <c r="AJ276" s="1"/>
      <c r="AK276" s="1"/>
      <c r="AL276" s="1"/>
      <c r="AM276" s="1"/>
      <c r="AN276" s="1"/>
      <c r="AO276" s="1"/>
      <c r="AP276" s="1"/>
      <c r="AQ276" s="1"/>
      <c r="AR276" s="1"/>
      <c r="AS276" s="1"/>
      <c r="AT276" s="1"/>
      <c r="AU276" s="1"/>
      <c r="AV276" s="1"/>
      <c r="AW276" s="1"/>
      <c r="AX276" s="1"/>
      <c r="AY276" s="1"/>
      <c r="AZ276" s="1"/>
      <c r="BA276" s="1"/>
    </row>
    <row r="277" spans="1:53" x14ac:dyDescent="0.2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  <c r="AB277" s="1"/>
      <c r="AC277" s="1"/>
      <c r="AD277" s="1"/>
      <c r="AE277" s="1"/>
      <c r="AF277" s="1"/>
      <c r="AG277" s="1"/>
      <c r="AH277" s="1"/>
      <c r="AI277" s="1"/>
      <c r="AJ277" s="1"/>
      <c r="AK277" s="1"/>
      <c r="AL277" s="1"/>
      <c r="AM277" s="1"/>
      <c r="AN277" s="1"/>
      <c r="AO277" s="1"/>
      <c r="AP277" s="1"/>
      <c r="AQ277" s="1"/>
      <c r="AR277" s="1"/>
      <c r="AS277" s="1"/>
      <c r="AT277" s="1"/>
      <c r="AU277" s="1"/>
      <c r="AV277" s="1"/>
      <c r="AW277" s="1"/>
      <c r="AX277" s="1"/>
      <c r="AY277" s="1"/>
      <c r="AZ277" s="1"/>
      <c r="BA277" s="1"/>
    </row>
    <row r="278" spans="1:53" x14ac:dyDescent="0.2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  <c r="AB278" s="1"/>
      <c r="AC278" s="1"/>
      <c r="AD278" s="1"/>
      <c r="AE278" s="1"/>
      <c r="AF278" s="1"/>
      <c r="AG278" s="1"/>
      <c r="AH278" s="1"/>
      <c r="AI278" s="1"/>
      <c r="AJ278" s="1"/>
      <c r="AK278" s="1"/>
      <c r="AL278" s="1"/>
      <c r="AM278" s="1"/>
      <c r="AN278" s="1"/>
      <c r="AO278" s="1"/>
      <c r="AP278" s="1"/>
      <c r="AQ278" s="1"/>
      <c r="AR278" s="1"/>
      <c r="AS278" s="1"/>
      <c r="AT278" s="1"/>
      <c r="AU278" s="1"/>
      <c r="AV278" s="1"/>
      <c r="AW278" s="1"/>
      <c r="AX278" s="1"/>
      <c r="AY278" s="1"/>
      <c r="AZ278" s="1"/>
      <c r="BA278" s="1"/>
    </row>
    <row r="279" spans="1:53" x14ac:dyDescent="0.2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  <c r="AB279" s="1"/>
      <c r="AC279" s="1"/>
      <c r="AD279" s="1"/>
      <c r="AE279" s="1"/>
      <c r="AF279" s="1"/>
      <c r="AG279" s="1"/>
      <c r="AH279" s="1"/>
      <c r="AI279" s="1"/>
      <c r="AJ279" s="1"/>
      <c r="AK279" s="1"/>
      <c r="AL279" s="1"/>
      <c r="AM279" s="1"/>
      <c r="AN279" s="1"/>
      <c r="AO279" s="1"/>
      <c r="AP279" s="1"/>
      <c r="AQ279" s="1"/>
      <c r="AR279" s="1"/>
      <c r="AS279" s="1"/>
      <c r="AT279" s="1"/>
      <c r="AU279" s="1"/>
      <c r="AV279" s="1"/>
      <c r="AW279" s="1"/>
      <c r="AX279" s="1"/>
      <c r="AY279" s="1"/>
      <c r="AZ279" s="1"/>
      <c r="BA279" s="1"/>
    </row>
    <row r="280" spans="1:53" x14ac:dyDescent="0.2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  <c r="AB280" s="1"/>
      <c r="AC280" s="1"/>
      <c r="AD280" s="1"/>
      <c r="AE280" s="1"/>
      <c r="AF280" s="1"/>
      <c r="AG280" s="1"/>
      <c r="AH280" s="1"/>
      <c r="AI280" s="1"/>
      <c r="AJ280" s="1"/>
      <c r="AK280" s="1"/>
      <c r="AL280" s="1"/>
      <c r="AM280" s="1"/>
      <c r="AN280" s="1"/>
      <c r="AO280" s="1"/>
      <c r="AP280" s="1"/>
      <c r="AQ280" s="1"/>
      <c r="AR280" s="1"/>
      <c r="AS280" s="1"/>
      <c r="AT280" s="1"/>
      <c r="AU280" s="1"/>
      <c r="AV280" s="1"/>
      <c r="AW280" s="1"/>
      <c r="AX280" s="1"/>
      <c r="AY280" s="1"/>
      <c r="AZ280" s="1"/>
      <c r="BA280" s="1"/>
    </row>
    <row r="281" spans="1:53" x14ac:dyDescent="0.2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  <c r="AB281" s="1"/>
      <c r="AC281" s="1"/>
      <c r="AD281" s="1"/>
      <c r="AE281" s="1"/>
      <c r="AF281" s="1"/>
      <c r="AG281" s="1"/>
      <c r="AH281" s="1"/>
      <c r="AI281" s="1"/>
      <c r="AJ281" s="1"/>
      <c r="AK281" s="1"/>
      <c r="AL281" s="1"/>
      <c r="AM281" s="1"/>
      <c r="AN281" s="1"/>
      <c r="AO281" s="1"/>
      <c r="AP281" s="1"/>
      <c r="AQ281" s="1"/>
      <c r="AR281" s="1"/>
      <c r="AS281" s="1"/>
      <c r="AT281" s="1"/>
      <c r="AU281" s="1"/>
      <c r="AV281" s="1"/>
      <c r="AW281" s="1"/>
      <c r="AX281" s="1"/>
      <c r="AY281" s="1"/>
      <c r="AZ281" s="1"/>
      <c r="BA281" s="1"/>
    </row>
    <row r="282" spans="1:53" x14ac:dyDescent="0.2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  <c r="AB282" s="1"/>
      <c r="AC282" s="1"/>
      <c r="AD282" s="1"/>
      <c r="AE282" s="1"/>
      <c r="AF282" s="1"/>
      <c r="AG282" s="1"/>
      <c r="AH282" s="1"/>
      <c r="AI282" s="1"/>
      <c r="AJ282" s="1"/>
      <c r="AK282" s="1"/>
      <c r="AL282" s="1"/>
      <c r="AM282" s="1"/>
      <c r="AN282" s="1"/>
      <c r="AO282" s="1"/>
      <c r="AP282" s="1"/>
      <c r="AQ282" s="1"/>
      <c r="AR282" s="1"/>
      <c r="AS282" s="1"/>
      <c r="AT282" s="1"/>
      <c r="AU282" s="1"/>
      <c r="AV282" s="1"/>
      <c r="AW282" s="1"/>
      <c r="AX282" s="1"/>
      <c r="AY282" s="1"/>
      <c r="AZ282" s="1"/>
      <c r="BA282" s="1"/>
    </row>
    <row r="283" spans="1:53" x14ac:dyDescent="0.2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  <c r="AB283" s="1"/>
      <c r="AC283" s="1"/>
      <c r="AD283" s="1"/>
      <c r="AE283" s="1"/>
      <c r="AF283" s="1"/>
      <c r="AG283" s="1"/>
      <c r="AH283" s="1"/>
      <c r="AI283" s="1"/>
      <c r="AJ283" s="1"/>
      <c r="AK283" s="1"/>
      <c r="AL283" s="1"/>
      <c r="AM283" s="1"/>
      <c r="AN283" s="1"/>
      <c r="AO283" s="1"/>
      <c r="AP283" s="1"/>
      <c r="AQ283" s="1"/>
      <c r="AR283" s="1"/>
      <c r="AS283" s="1"/>
      <c r="AT283" s="1"/>
      <c r="AU283" s="1"/>
      <c r="AV283" s="1"/>
      <c r="AW283" s="1"/>
      <c r="AX283" s="1"/>
      <c r="AY283" s="1"/>
      <c r="AZ283" s="1"/>
      <c r="BA283" s="1"/>
    </row>
    <row r="284" spans="1:53" x14ac:dyDescent="0.2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  <c r="AB284" s="1"/>
      <c r="AC284" s="1"/>
      <c r="AD284" s="1"/>
      <c r="AE284" s="1"/>
      <c r="AF284" s="1"/>
      <c r="AG284" s="1"/>
      <c r="AH284" s="1"/>
      <c r="AI284" s="1"/>
      <c r="AJ284" s="1"/>
      <c r="AK284" s="1"/>
      <c r="AL284" s="1"/>
      <c r="AM284" s="1"/>
      <c r="AN284" s="1"/>
      <c r="AO284" s="1"/>
      <c r="AP284" s="1"/>
      <c r="AQ284" s="1"/>
      <c r="AR284" s="1"/>
      <c r="AS284" s="1"/>
      <c r="AT284" s="1"/>
      <c r="AU284" s="1"/>
      <c r="AV284" s="1"/>
      <c r="AW284" s="1"/>
      <c r="AX284" s="1"/>
      <c r="AY284" s="1"/>
      <c r="AZ284" s="1"/>
      <c r="BA284" s="1"/>
    </row>
    <row r="285" spans="1:53" x14ac:dyDescent="0.2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  <c r="AB285" s="1"/>
      <c r="AC285" s="1"/>
      <c r="AD285" s="1"/>
      <c r="AE285" s="1"/>
      <c r="AF285" s="1"/>
      <c r="AG285" s="1"/>
      <c r="AH285" s="1"/>
      <c r="AI285" s="1"/>
      <c r="AJ285" s="1"/>
      <c r="AK285" s="1"/>
      <c r="AL285" s="1"/>
      <c r="AM285" s="1"/>
      <c r="AN285" s="1"/>
      <c r="AO285" s="1"/>
      <c r="AP285" s="1"/>
      <c r="AQ285" s="1"/>
      <c r="AR285" s="1"/>
      <c r="AS285" s="1"/>
      <c r="AT285" s="1"/>
      <c r="AU285" s="1"/>
      <c r="AV285" s="1"/>
      <c r="AW285" s="1"/>
      <c r="AX285" s="1"/>
      <c r="AY285" s="1"/>
      <c r="AZ285" s="1"/>
      <c r="BA285" s="1"/>
    </row>
    <row r="286" spans="1:53" x14ac:dyDescent="0.2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  <c r="AB286" s="1"/>
      <c r="AC286" s="1"/>
      <c r="AD286" s="1"/>
      <c r="AE286" s="1"/>
      <c r="AF286" s="1"/>
      <c r="AG286" s="1"/>
      <c r="AH286" s="1"/>
      <c r="AI286" s="1"/>
      <c r="AJ286" s="1"/>
      <c r="AK286" s="1"/>
      <c r="AL286" s="1"/>
      <c r="AM286" s="1"/>
      <c r="AN286" s="1"/>
      <c r="AO286" s="1"/>
      <c r="AP286" s="1"/>
      <c r="AQ286" s="1"/>
      <c r="AR286" s="1"/>
      <c r="AS286" s="1"/>
      <c r="AT286" s="1"/>
      <c r="AU286" s="1"/>
      <c r="AV286" s="1"/>
      <c r="AW286" s="1"/>
      <c r="AX286" s="1"/>
      <c r="AY286" s="1"/>
      <c r="AZ286" s="1"/>
      <c r="BA286" s="1"/>
    </row>
    <row r="287" spans="1:53" x14ac:dyDescent="0.2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  <c r="AB287" s="1"/>
      <c r="AC287" s="1"/>
      <c r="AD287" s="1"/>
      <c r="AE287" s="1"/>
      <c r="AF287" s="1"/>
      <c r="AG287" s="1"/>
      <c r="AH287" s="1"/>
      <c r="AI287" s="1"/>
      <c r="AJ287" s="1"/>
      <c r="AK287" s="1"/>
      <c r="AL287" s="1"/>
      <c r="AM287" s="1"/>
      <c r="AN287" s="1"/>
      <c r="AO287" s="1"/>
      <c r="AP287" s="1"/>
      <c r="AQ287" s="1"/>
      <c r="AR287" s="1"/>
      <c r="AS287" s="1"/>
      <c r="AT287" s="1"/>
      <c r="AU287" s="1"/>
      <c r="AV287" s="1"/>
      <c r="AW287" s="1"/>
      <c r="AX287" s="1"/>
      <c r="AY287" s="1"/>
      <c r="AZ287" s="1"/>
      <c r="BA287" s="1"/>
    </row>
    <row r="288" spans="1:53" x14ac:dyDescent="0.2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  <c r="AB288" s="1"/>
      <c r="AC288" s="1"/>
      <c r="AD288" s="1"/>
      <c r="AE288" s="1"/>
      <c r="AF288" s="1"/>
      <c r="AG288" s="1"/>
      <c r="AH288" s="1"/>
      <c r="AI288" s="1"/>
      <c r="AJ288" s="1"/>
      <c r="AK288" s="1"/>
      <c r="AL288" s="1"/>
      <c r="AM288" s="1"/>
      <c r="AN288" s="1"/>
      <c r="AO288" s="1"/>
      <c r="AP288" s="1"/>
      <c r="AQ288" s="1"/>
      <c r="AR288" s="1"/>
      <c r="AS288" s="1"/>
      <c r="AT288" s="1"/>
      <c r="AU288" s="1"/>
      <c r="AV288" s="1"/>
      <c r="AW288" s="1"/>
      <c r="AX288" s="1"/>
      <c r="AY288" s="1"/>
      <c r="AZ288" s="1"/>
      <c r="BA288" s="1"/>
    </row>
    <row r="289" spans="1:53" x14ac:dyDescent="0.2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  <c r="AB289" s="1"/>
      <c r="AC289" s="1"/>
      <c r="AD289" s="1"/>
      <c r="AE289" s="1"/>
      <c r="AF289" s="1"/>
      <c r="AG289" s="1"/>
      <c r="AH289" s="1"/>
      <c r="AI289" s="1"/>
      <c r="AJ289" s="1"/>
      <c r="AK289" s="1"/>
      <c r="AL289" s="1"/>
      <c r="AM289" s="1"/>
      <c r="AN289" s="1"/>
      <c r="AO289" s="1"/>
      <c r="AP289" s="1"/>
      <c r="AQ289" s="1"/>
      <c r="AR289" s="1"/>
      <c r="AS289" s="1"/>
      <c r="AT289" s="1"/>
      <c r="AU289" s="1"/>
      <c r="AV289" s="1"/>
      <c r="AW289" s="1"/>
      <c r="AX289" s="1"/>
      <c r="AY289" s="1"/>
      <c r="AZ289" s="1"/>
      <c r="BA289" s="1"/>
    </row>
    <row r="290" spans="1:53" x14ac:dyDescent="0.2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  <c r="AB290" s="1"/>
      <c r="AC290" s="1"/>
      <c r="AD290" s="1"/>
      <c r="AE290" s="1"/>
      <c r="AF290" s="1"/>
      <c r="AG290" s="1"/>
      <c r="AH290" s="1"/>
      <c r="AI290" s="1"/>
      <c r="AJ290" s="1"/>
      <c r="AK290" s="1"/>
      <c r="AL290" s="1"/>
      <c r="AM290" s="1"/>
      <c r="AN290" s="1"/>
      <c r="AO290" s="1"/>
      <c r="AP290" s="1"/>
      <c r="AQ290" s="1"/>
      <c r="AR290" s="1"/>
      <c r="AS290" s="1"/>
      <c r="AT290" s="1"/>
      <c r="AU290" s="1"/>
      <c r="AV290" s="1"/>
      <c r="AW290" s="1"/>
      <c r="AX290" s="1"/>
      <c r="AY290" s="1"/>
      <c r="AZ290" s="1"/>
      <c r="BA290" s="1"/>
    </row>
    <row r="291" spans="1:53" x14ac:dyDescent="0.2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  <c r="AB291" s="1"/>
      <c r="AC291" s="1"/>
      <c r="AD291" s="1"/>
      <c r="AE291" s="1"/>
      <c r="AF291" s="1"/>
      <c r="AG291" s="1"/>
      <c r="AH291" s="1"/>
      <c r="AI291" s="1"/>
      <c r="AJ291" s="1"/>
      <c r="AK291" s="1"/>
      <c r="AL291" s="1"/>
      <c r="AM291" s="1"/>
      <c r="AN291" s="1"/>
      <c r="AO291" s="1"/>
      <c r="AP291" s="1"/>
      <c r="AQ291" s="1"/>
      <c r="AR291" s="1"/>
      <c r="AS291" s="1"/>
      <c r="AT291" s="1"/>
      <c r="AU291" s="1"/>
      <c r="AV291" s="1"/>
      <c r="AW291" s="1"/>
      <c r="AX291" s="1"/>
      <c r="AY291" s="1"/>
      <c r="AZ291" s="1"/>
      <c r="BA291" s="1"/>
    </row>
    <row r="292" spans="1:53" x14ac:dyDescent="0.2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  <c r="AB292" s="1"/>
      <c r="AC292" s="1"/>
      <c r="AD292" s="1"/>
      <c r="AE292" s="1"/>
      <c r="AF292" s="1"/>
      <c r="AG292" s="1"/>
      <c r="AH292" s="1"/>
      <c r="AI292" s="1"/>
      <c r="AJ292" s="1"/>
      <c r="AK292" s="1"/>
      <c r="AL292" s="1"/>
      <c r="AM292" s="1"/>
      <c r="AN292" s="1"/>
      <c r="AO292" s="1"/>
      <c r="AP292" s="1"/>
      <c r="AQ292" s="1"/>
      <c r="AR292" s="1"/>
      <c r="AS292" s="1"/>
      <c r="AT292" s="1"/>
      <c r="AU292" s="1"/>
      <c r="AV292" s="1"/>
      <c r="AW292" s="1"/>
      <c r="AX292" s="1"/>
      <c r="AY292" s="1"/>
      <c r="AZ292" s="1"/>
      <c r="BA292" s="1"/>
    </row>
    <row r="293" spans="1:53" x14ac:dyDescent="0.2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  <c r="AB293" s="1"/>
      <c r="AC293" s="1"/>
      <c r="AD293" s="1"/>
      <c r="AE293" s="1"/>
      <c r="AF293" s="1"/>
      <c r="AG293" s="1"/>
      <c r="AH293" s="1"/>
      <c r="AI293" s="1"/>
      <c r="AJ293" s="1"/>
      <c r="AK293" s="1"/>
      <c r="AL293" s="1"/>
      <c r="AM293" s="1"/>
      <c r="AN293" s="1"/>
      <c r="AO293" s="1"/>
      <c r="AP293" s="1"/>
      <c r="AQ293" s="1"/>
      <c r="AR293" s="1"/>
      <c r="AS293" s="1"/>
      <c r="AT293" s="1"/>
      <c r="AU293" s="1"/>
      <c r="AV293" s="1"/>
      <c r="AW293" s="1"/>
      <c r="AX293" s="1"/>
      <c r="AY293" s="1"/>
      <c r="AZ293" s="1"/>
      <c r="BA293" s="1"/>
    </row>
    <row r="294" spans="1:53" x14ac:dyDescent="0.2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  <c r="AB294" s="1"/>
      <c r="AC294" s="1"/>
      <c r="AD294" s="1"/>
      <c r="AE294" s="1"/>
      <c r="AF294" s="1"/>
      <c r="AG294" s="1"/>
      <c r="AH294" s="1"/>
      <c r="AI294" s="1"/>
      <c r="AJ294" s="1"/>
      <c r="AK294" s="1"/>
      <c r="AL294" s="1"/>
      <c r="AM294" s="1"/>
      <c r="AN294" s="1"/>
      <c r="AO294" s="1"/>
      <c r="AP294" s="1"/>
      <c r="AQ294" s="1"/>
      <c r="AR294" s="1"/>
      <c r="AS294" s="1"/>
      <c r="AT294" s="1"/>
      <c r="AU294" s="1"/>
      <c r="AV294" s="1"/>
      <c r="AW294" s="1"/>
      <c r="AX294" s="1"/>
      <c r="AY294" s="1"/>
      <c r="AZ294" s="1"/>
      <c r="BA294" s="1"/>
    </row>
    <row r="295" spans="1:53" x14ac:dyDescent="0.2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  <c r="AB295" s="1"/>
      <c r="AC295" s="1"/>
      <c r="AD295" s="1"/>
      <c r="AE295" s="1"/>
      <c r="AF295" s="1"/>
      <c r="AG295" s="1"/>
      <c r="AH295" s="1"/>
      <c r="AI295" s="1"/>
      <c r="AJ295" s="1"/>
      <c r="AK295" s="1"/>
      <c r="AL295" s="1"/>
      <c r="AM295" s="1"/>
      <c r="AN295" s="1"/>
      <c r="AO295" s="1"/>
      <c r="AP295" s="1"/>
      <c r="AQ295" s="1"/>
      <c r="AR295" s="1"/>
      <c r="AS295" s="1"/>
      <c r="AT295" s="1"/>
      <c r="AU295" s="1"/>
      <c r="AV295" s="1"/>
      <c r="AW295" s="1"/>
      <c r="AX295" s="1"/>
      <c r="AY295" s="1"/>
      <c r="AZ295" s="1"/>
      <c r="BA295" s="1"/>
    </row>
    <row r="296" spans="1:53" x14ac:dyDescent="0.2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  <c r="AB296" s="1"/>
      <c r="AC296" s="1"/>
      <c r="AD296" s="1"/>
      <c r="AE296" s="1"/>
      <c r="AF296" s="1"/>
      <c r="AG296" s="1"/>
      <c r="AH296" s="1"/>
      <c r="AI296" s="1"/>
      <c r="AJ296" s="1"/>
      <c r="AK296" s="1"/>
      <c r="AL296" s="1"/>
      <c r="AM296" s="1"/>
      <c r="AN296" s="1"/>
      <c r="AO296" s="1"/>
      <c r="AP296" s="1"/>
      <c r="AQ296" s="1"/>
      <c r="AR296" s="1"/>
      <c r="AS296" s="1"/>
      <c r="AT296" s="1"/>
      <c r="AU296" s="1"/>
      <c r="AV296" s="1"/>
      <c r="AW296" s="1"/>
      <c r="AX296" s="1"/>
      <c r="AY296" s="1"/>
      <c r="AZ296" s="1"/>
      <c r="BA296" s="1"/>
    </row>
    <row r="297" spans="1:53" x14ac:dyDescent="0.2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  <c r="AB297" s="1"/>
      <c r="AC297" s="1"/>
      <c r="AD297" s="1"/>
      <c r="AE297" s="1"/>
      <c r="AF297" s="1"/>
      <c r="AG297" s="1"/>
      <c r="AH297" s="1"/>
      <c r="AI297" s="1"/>
      <c r="AJ297" s="1"/>
      <c r="AK297" s="1"/>
      <c r="AL297" s="1"/>
      <c r="AM297" s="1"/>
      <c r="AN297" s="1"/>
      <c r="AO297" s="1"/>
      <c r="AP297" s="1"/>
      <c r="AQ297" s="1"/>
      <c r="AR297" s="1"/>
      <c r="AS297" s="1"/>
      <c r="AT297" s="1"/>
      <c r="AU297" s="1"/>
      <c r="AV297" s="1"/>
      <c r="AW297" s="1"/>
      <c r="AX297" s="1"/>
      <c r="AY297" s="1"/>
      <c r="AZ297" s="1"/>
      <c r="BA297" s="1"/>
    </row>
    <row r="298" spans="1:53" x14ac:dyDescent="0.2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  <c r="AB298" s="1"/>
      <c r="AC298" s="1"/>
      <c r="AD298" s="1"/>
      <c r="AE298" s="1"/>
      <c r="AF298" s="1"/>
      <c r="AG298" s="1"/>
      <c r="AH298" s="1"/>
      <c r="AI298" s="1"/>
      <c r="AJ298" s="1"/>
      <c r="AK298" s="1"/>
      <c r="AL298" s="1"/>
      <c r="AM298" s="1"/>
      <c r="AN298" s="1"/>
      <c r="AO298" s="1"/>
      <c r="AP298" s="1"/>
      <c r="AQ298" s="1"/>
      <c r="AR298" s="1"/>
      <c r="AS298" s="1"/>
      <c r="AT298" s="1"/>
      <c r="AU298" s="1"/>
      <c r="AV298" s="1"/>
      <c r="AW298" s="1"/>
      <c r="AX298" s="1"/>
      <c r="AY298" s="1"/>
      <c r="AZ298" s="1"/>
      <c r="BA298" s="1"/>
    </row>
    <row r="299" spans="1:53" x14ac:dyDescent="0.2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  <c r="AB299" s="1"/>
      <c r="AC299" s="1"/>
      <c r="AD299" s="1"/>
      <c r="AE299" s="1"/>
      <c r="AF299" s="1"/>
      <c r="AG299" s="1"/>
      <c r="AH299" s="1"/>
      <c r="AI299" s="1"/>
      <c r="AJ299" s="1"/>
      <c r="AK299" s="1"/>
      <c r="AL299" s="1"/>
      <c r="AM299" s="1"/>
      <c r="AN299" s="1"/>
      <c r="AO299" s="1"/>
      <c r="AP299" s="1"/>
      <c r="AQ299" s="1"/>
      <c r="AR299" s="1"/>
      <c r="AS299" s="1"/>
      <c r="AT299" s="1"/>
      <c r="AU299" s="1"/>
      <c r="AV299" s="1"/>
      <c r="AW299" s="1"/>
      <c r="AX299" s="1"/>
      <c r="AY299" s="1"/>
      <c r="AZ299" s="1"/>
      <c r="BA299" s="1"/>
    </row>
    <row r="300" spans="1:53" x14ac:dyDescent="0.2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  <c r="AB300" s="1"/>
      <c r="AC300" s="1"/>
      <c r="AD300" s="1"/>
      <c r="AE300" s="1"/>
      <c r="AF300" s="1"/>
      <c r="AG300" s="1"/>
      <c r="AH300" s="1"/>
      <c r="AI300" s="1"/>
      <c r="AJ300" s="1"/>
      <c r="AK300" s="1"/>
      <c r="AL300" s="1"/>
      <c r="AM300" s="1"/>
      <c r="AN300" s="1"/>
      <c r="AO300" s="1"/>
      <c r="AP300" s="1"/>
      <c r="AQ300" s="1"/>
      <c r="AR300" s="1"/>
      <c r="AS300" s="1"/>
      <c r="AT300" s="1"/>
      <c r="AU300" s="1"/>
      <c r="AV300" s="1"/>
      <c r="AW300" s="1"/>
      <c r="AX300" s="1"/>
      <c r="AY300" s="1"/>
      <c r="AZ300" s="1"/>
      <c r="BA300" s="1"/>
    </row>
    <row r="301" spans="1:53" x14ac:dyDescent="0.2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  <c r="AB301" s="1"/>
      <c r="AC301" s="1"/>
      <c r="AD301" s="1"/>
      <c r="AE301" s="1"/>
      <c r="AF301" s="1"/>
      <c r="AG301" s="1"/>
      <c r="AH301" s="1"/>
      <c r="AI301" s="1"/>
      <c r="AJ301" s="1"/>
      <c r="AK301" s="1"/>
      <c r="AL301" s="1"/>
      <c r="AM301" s="1"/>
      <c r="AN301" s="1"/>
      <c r="AO301" s="1"/>
      <c r="AP301" s="1"/>
      <c r="AQ301" s="1"/>
      <c r="AR301" s="1"/>
      <c r="AS301" s="1"/>
      <c r="AT301" s="1"/>
      <c r="AU301" s="1"/>
      <c r="AV301" s="1"/>
      <c r="AW301" s="1"/>
      <c r="AX301" s="1"/>
      <c r="AY301" s="1"/>
      <c r="AZ301" s="1"/>
      <c r="BA301" s="1"/>
    </row>
    <row r="302" spans="1:53" x14ac:dyDescent="0.2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  <c r="AB302" s="1"/>
      <c r="AC302" s="1"/>
      <c r="AD302" s="1"/>
      <c r="AE302" s="1"/>
      <c r="AF302" s="1"/>
      <c r="AG302" s="1"/>
      <c r="AH302" s="1"/>
      <c r="AI302" s="1"/>
      <c r="AJ302" s="1"/>
      <c r="AK302" s="1"/>
      <c r="AL302" s="1"/>
      <c r="AM302" s="1"/>
      <c r="AN302" s="1"/>
      <c r="AO302" s="1"/>
      <c r="AP302" s="1"/>
      <c r="AQ302" s="1"/>
      <c r="AR302" s="1"/>
      <c r="AS302" s="1"/>
      <c r="AT302" s="1"/>
      <c r="AU302" s="1"/>
      <c r="AV302" s="1"/>
      <c r="AW302" s="1"/>
      <c r="AX302" s="1"/>
      <c r="AY302" s="1"/>
      <c r="AZ302" s="1"/>
      <c r="BA302" s="1"/>
    </row>
    <row r="303" spans="1:53" x14ac:dyDescent="0.2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  <c r="AB303" s="1"/>
      <c r="AC303" s="1"/>
      <c r="AD303" s="1"/>
      <c r="AE303" s="1"/>
      <c r="AF303" s="1"/>
      <c r="AG303" s="1"/>
      <c r="AH303" s="1"/>
      <c r="AI303" s="1"/>
      <c r="AJ303" s="1"/>
      <c r="AK303" s="1"/>
      <c r="AL303" s="1"/>
      <c r="AM303" s="1"/>
      <c r="AN303" s="1"/>
      <c r="AO303" s="1"/>
      <c r="AP303" s="1"/>
      <c r="AQ303" s="1"/>
      <c r="AR303" s="1"/>
      <c r="AS303" s="1"/>
      <c r="AT303" s="1"/>
      <c r="AU303" s="1"/>
      <c r="AV303" s="1"/>
      <c r="AW303" s="1"/>
      <c r="AX303" s="1"/>
      <c r="AY303" s="1"/>
      <c r="AZ303" s="1"/>
      <c r="BA303" s="1"/>
    </row>
    <row r="304" spans="1:53" x14ac:dyDescent="0.2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  <c r="AB304" s="1"/>
      <c r="AC304" s="1"/>
      <c r="AD304" s="1"/>
      <c r="AE304" s="1"/>
      <c r="AF304" s="1"/>
      <c r="AG304" s="1"/>
      <c r="AH304" s="1"/>
      <c r="AI304" s="1"/>
      <c r="AJ304" s="1"/>
      <c r="AK304" s="1"/>
      <c r="AL304" s="1"/>
      <c r="AM304" s="1"/>
      <c r="AN304" s="1"/>
      <c r="AO304" s="1"/>
      <c r="AP304" s="1"/>
      <c r="AQ304" s="1"/>
      <c r="AR304" s="1"/>
      <c r="AS304" s="1"/>
      <c r="AT304" s="1"/>
      <c r="AU304" s="1"/>
      <c r="AV304" s="1"/>
      <c r="AW304" s="1"/>
      <c r="AX304" s="1"/>
      <c r="AY304" s="1"/>
      <c r="AZ304" s="1"/>
      <c r="BA304" s="1"/>
    </row>
    <row r="305" spans="1:53" x14ac:dyDescent="0.2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  <c r="AB305" s="1"/>
      <c r="AC305" s="1"/>
      <c r="AD305" s="1"/>
      <c r="AE305" s="1"/>
      <c r="AF305" s="1"/>
      <c r="AG305" s="1"/>
      <c r="AH305" s="1"/>
      <c r="AI305" s="1"/>
      <c r="AJ305" s="1"/>
      <c r="AK305" s="1"/>
      <c r="AL305" s="1"/>
      <c r="AM305" s="1"/>
      <c r="AN305" s="1"/>
      <c r="AO305" s="1"/>
      <c r="AP305" s="1"/>
      <c r="AQ305" s="1"/>
      <c r="AR305" s="1"/>
      <c r="AS305" s="1"/>
      <c r="AT305" s="1"/>
      <c r="AU305" s="1"/>
      <c r="AV305" s="1"/>
      <c r="AW305" s="1"/>
      <c r="AX305" s="1"/>
      <c r="AY305" s="1"/>
      <c r="AZ305" s="1"/>
      <c r="BA305" s="1"/>
    </row>
    <row r="306" spans="1:53" x14ac:dyDescent="0.2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  <c r="AB306" s="1"/>
      <c r="AC306" s="1"/>
      <c r="AD306" s="1"/>
      <c r="AE306" s="1"/>
      <c r="AF306" s="1"/>
      <c r="AG306" s="1"/>
      <c r="AH306" s="1"/>
      <c r="AI306" s="1"/>
      <c r="AJ306" s="1"/>
      <c r="AK306" s="1"/>
      <c r="AL306" s="1"/>
      <c r="AM306" s="1"/>
      <c r="AN306" s="1"/>
      <c r="AO306" s="1"/>
      <c r="AP306" s="1"/>
      <c r="AQ306" s="1"/>
      <c r="AR306" s="1"/>
      <c r="AS306" s="1"/>
      <c r="AT306" s="1"/>
      <c r="AU306" s="1"/>
      <c r="AV306" s="1"/>
      <c r="AW306" s="1"/>
      <c r="AX306" s="1"/>
      <c r="AY306" s="1"/>
      <c r="AZ306" s="1"/>
      <c r="BA306" s="1"/>
    </row>
    <row r="307" spans="1:53" x14ac:dyDescent="0.2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  <c r="AB307" s="1"/>
      <c r="AC307" s="1"/>
      <c r="AD307" s="1"/>
      <c r="AE307" s="1"/>
      <c r="AF307" s="1"/>
      <c r="AG307" s="1"/>
      <c r="AH307" s="1"/>
      <c r="AI307" s="1"/>
      <c r="AJ307" s="1"/>
      <c r="AK307" s="1"/>
      <c r="AL307" s="1"/>
      <c r="AM307" s="1"/>
      <c r="AN307" s="1"/>
      <c r="AO307" s="1"/>
      <c r="AP307" s="1"/>
      <c r="AQ307" s="1"/>
      <c r="AR307" s="1"/>
      <c r="AS307" s="1"/>
      <c r="AT307" s="1"/>
      <c r="AU307" s="1"/>
      <c r="AV307" s="1"/>
      <c r="AW307" s="1"/>
      <c r="AX307" s="1"/>
      <c r="AY307" s="1"/>
      <c r="AZ307" s="1"/>
      <c r="BA307" s="1"/>
    </row>
    <row r="308" spans="1:53" x14ac:dyDescent="0.2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  <c r="AB308" s="1"/>
      <c r="AC308" s="1"/>
      <c r="AD308" s="1"/>
      <c r="AE308" s="1"/>
      <c r="AF308" s="1"/>
      <c r="AG308" s="1"/>
      <c r="AH308" s="1"/>
      <c r="AI308" s="1"/>
      <c r="AJ308" s="1"/>
      <c r="AK308" s="1"/>
      <c r="AL308" s="1"/>
      <c r="AM308" s="1"/>
      <c r="AN308" s="1"/>
      <c r="AO308" s="1"/>
      <c r="AP308" s="1"/>
      <c r="AQ308" s="1"/>
      <c r="AR308" s="1"/>
      <c r="AS308" s="1"/>
      <c r="AT308" s="1"/>
      <c r="AU308" s="1"/>
      <c r="AV308" s="1"/>
      <c r="AW308" s="1"/>
      <c r="AX308" s="1"/>
      <c r="AY308" s="1"/>
      <c r="AZ308" s="1"/>
      <c r="BA308" s="1"/>
    </row>
    <row r="309" spans="1:53" x14ac:dyDescent="0.2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  <c r="AB309" s="1"/>
      <c r="AC309" s="1"/>
      <c r="AD309" s="1"/>
      <c r="AE309" s="1"/>
      <c r="AF309" s="1"/>
      <c r="AG309" s="1"/>
      <c r="AH309" s="1"/>
      <c r="AI309" s="1"/>
      <c r="AJ309" s="1"/>
      <c r="AK309" s="1"/>
      <c r="AL309" s="1"/>
      <c r="AM309" s="1"/>
      <c r="AN309" s="1"/>
      <c r="AO309" s="1"/>
      <c r="AP309" s="1"/>
      <c r="AQ309" s="1"/>
      <c r="AR309" s="1"/>
      <c r="AS309" s="1"/>
      <c r="AT309" s="1"/>
      <c r="AU309" s="1"/>
      <c r="AV309" s="1"/>
      <c r="AW309" s="1"/>
      <c r="AX309" s="1"/>
      <c r="AY309" s="1"/>
      <c r="AZ309" s="1"/>
      <c r="BA309" s="1"/>
    </row>
    <row r="310" spans="1:53" x14ac:dyDescent="0.2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  <c r="AB310" s="1"/>
      <c r="AC310" s="1"/>
      <c r="AD310" s="1"/>
      <c r="AE310" s="1"/>
      <c r="AF310" s="1"/>
      <c r="AG310" s="1"/>
      <c r="AH310" s="1"/>
      <c r="AI310" s="1"/>
      <c r="AJ310" s="1"/>
      <c r="AK310" s="1"/>
      <c r="AL310" s="1"/>
      <c r="AM310" s="1"/>
      <c r="AN310" s="1"/>
      <c r="AO310" s="1"/>
      <c r="AP310" s="1"/>
      <c r="AQ310" s="1"/>
      <c r="AR310" s="1"/>
      <c r="AS310" s="1"/>
      <c r="AT310" s="1"/>
      <c r="AU310" s="1"/>
      <c r="AV310" s="1"/>
      <c r="AW310" s="1"/>
      <c r="AX310" s="1"/>
      <c r="AY310" s="1"/>
      <c r="AZ310" s="1"/>
      <c r="BA310" s="1"/>
    </row>
    <row r="311" spans="1:53" x14ac:dyDescent="0.2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A311" s="1"/>
      <c r="AB311" s="1"/>
      <c r="AC311" s="1"/>
      <c r="AD311" s="1"/>
      <c r="AE311" s="1"/>
      <c r="AF311" s="1"/>
      <c r="AG311" s="1"/>
      <c r="AH311" s="1"/>
      <c r="AI311" s="1"/>
      <c r="AJ311" s="1"/>
      <c r="AK311" s="1"/>
      <c r="AL311" s="1"/>
      <c r="AM311" s="1"/>
      <c r="AN311" s="1"/>
      <c r="AO311" s="1"/>
      <c r="AP311" s="1"/>
      <c r="AQ311" s="1"/>
      <c r="AR311" s="1"/>
      <c r="AS311" s="1"/>
      <c r="AT311" s="1"/>
      <c r="AU311" s="1"/>
      <c r="AV311" s="1"/>
      <c r="AW311" s="1"/>
      <c r="AX311" s="1"/>
      <c r="AY311" s="1"/>
      <c r="AZ311" s="1"/>
      <c r="BA311" s="1"/>
    </row>
    <row r="312" spans="1:53" x14ac:dyDescent="0.25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A312" s="1"/>
      <c r="AB312" s="1"/>
      <c r="AC312" s="1"/>
      <c r="AD312" s="1"/>
      <c r="AE312" s="1"/>
      <c r="AF312" s="1"/>
      <c r="AG312" s="1"/>
      <c r="AH312" s="1"/>
      <c r="AI312" s="1"/>
      <c r="AJ312" s="1"/>
      <c r="AK312" s="1"/>
      <c r="AL312" s="1"/>
      <c r="AM312" s="1"/>
      <c r="AN312" s="1"/>
      <c r="AO312" s="1"/>
      <c r="AP312" s="1"/>
      <c r="AQ312" s="1"/>
      <c r="AR312" s="1"/>
      <c r="AS312" s="1"/>
      <c r="AT312" s="1"/>
      <c r="AU312" s="1"/>
      <c r="AV312" s="1"/>
      <c r="AW312" s="1"/>
      <c r="AX312" s="1"/>
      <c r="AY312" s="1"/>
      <c r="AZ312" s="1"/>
      <c r="BA312" s="1"/>
    </row>
    <row r="313" spans="1:53" x14ac:dyDescent="0.25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1"/>
      <c r="AB313" s="1"/>
      <c r="AC313" s="1"/>
      <c r="AD313" s="1"/>
      <c r="AE313" s="1"/>
      <c r="AF313" s="1"/>
      <c r="AG313" s="1"/>
      <c r="AH313" s="1"/>
      <c r="AI313" s="1"/>
      <c r="AJ313" s="1"/>
      <c r="AK313" s="1"/>
      <c r="AL313" s="1"/>
      <c r="AM313" s="1"/>
      <c r="AN313" s="1"/>
      <c r="AO313" s="1"/>
      <c r="AP313" s="1"/>
      <c r="AQ313" s="1"/>
      <c r="AR313" s="1"/>
      <c r="AS313" s="1"/>
      <c r="AT313" s="1"/>
      <c r="AU313" s="1"/>
      <c r="AV313" s="1"/>
      <c r="AW313" s="1"/>
      <c r="AX313" s="1"/>
      <c r="AY313" s="1"/>
      <c r="AZ313" s="1"/>
      <c r="BA313" s="1"/>
    </row>
    <row r="314" spans="1:53" x14ac:dyDescent="0.25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A314" s="1"/>
      <c r="AB314" s="1"/>
      <c r="AC314" s="1"/>
      <c r="AD314" s="1"/>
      <c r="AE314" s="1"/>
      <c r="AF314" s="1"/>
      <c r="AG314" s="1"/>
      <c r="AH314" s="1"/>
      <c r="AI314" s="1"/>
      <c r="AJ314" s="1"/>
      <c r="AK314" s="1"/>
      <c r="AL314" s="1"/>
      <c r="AM314" s="1"/>
      <c r="AN314" s="1"/>
      <c r="AO314" s="1"/>
      <c r="AP314" s="1"/>
      <c r="AQ314" s="1"/>
      <c r="AR314" s="1"/>
      <c r="AS314" s="1"/>
      <c r="AT314" s="1"/>
      <c r="AU314" s="1"/>
      <c r="AV314" s="1"/>
      <c r="AW314" s="1"/>
      <c r="AX314" s="1"/>
      <c r="AY314" s="1"/>
      <c r="AZ314" s="1"/>
      <c r="BA314" s="1"/>
    </row>
    <row r="315" spans="1:53" x14ac:dyDescent="0.25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1"/>
      <c r="AB315" s="1"/>
      <c r="AC315" s="1"/>
      <c r="AD315" s="1"/>
      <c r="AE315" s="1"/>
      <c r="AF315" s="1"/>
      <c r="AG315" s="1"/>
      <c r="AH315" s="1"/>
      <c r="AI315" s="1"/>
      <c r="AJ315" s="1"/>
      <c r="AK315" s="1"/>
      <c r="AL315" s="1"/>
      <c r="AM315" s="1"/>
      <c r="AN315" s="1"/>
      <c r="AO315" s="1"/>
      <c r="AP315" s="1"/>
      <c r="AQ315" s="1"/>
      <c r="AR315" s="1"/>
      <c r="AS315" s="1"/>
      <c r="AT315" s="1"/>
      <c r="AU315" s="1"/>
      <c r="AV315" s="1"/>
      <c r="AW315" s="1"/>
      <c r="AX315" s="1"/>
      <c r="AY315" s="1"/>
      <c r="AZ315" s="1"/>
      <c r="BA315" s="1"/>
    </row>
    <row r="316" spans="1:53" x14ac:dyDescent="0.2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  <c r="AB316" s="1"/>
      <c r="AC316" s="1"/>
      <c r="AD316" s="1"/>
      <c r="AE316" s="1"/>
      <c r="AF316" s="1"/>
      <c r="AG316" s="1"/>
      <c r="AH316" s="1"/>
      <c r="AI316" s="1"/>
      <c r="AJ316" s="1"/>
      <c r="AK316" s="1"/>
      <c r="AL316" s="1"/>
      <c r="AM316" s="1"/>
      <c r="AN316" s="1"/>
      <c r="AO316" s="1"/>
      <c r="AP316" s="1"/>
      <c r="AQ316" s="1"/>
      <c r="AR316" s="1"/>
      <c r="AS316" s="1"/>
      <c r="AT316" s="1"/>
      <c r="AU316" s="1"/>
      <c r="AV316" s="1"/>
      <c r="AW316" s="1"/>
      <c r="AX316" s="1"/>
      <c r="AY316" s="1"/>
      <c r="AZ316" s="1"/>
      <c r="BA316" s="1"/>
    </row>
    <row r="317" spans="1:53" x14ac:dyDescent="0.2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A317" s="1"/>
      <c r="AB317" s="1"/>
      <c r="AC317" s="1"/>
      <c r="AD317" s="1"/>
      <c r="AE317" s="1"/>
      <c r="AF317" s="1"/>
      <c r="AG317" s="1"/>
      <c r="AH317" s="1"/>
      <c r="AI317" s="1"/>
      <c r="AJ317" s="1"/>
      <c r="AK317" s="1"/>
      <c r="AL317" s="1"/>
      <c r="AM317" s="1"/>
      <c r="AN317" s="1"/>
      <c r="AO317" s="1"/>
      <c r="AP317" s="1"/>
      <c r="AQ317" s="1"/>
      <c r="AR317" s="1"/>
      <c r="AS317" s="1"/>
      <c r="AT317" s="1"/>
      <c r="AU317" s="1"/>
      <c r="AV317" s="1"/>
      <c r="AW317" s="1"/>
      <c r="AX317" s="1"/>
      <c r="AY317" s="1"/>
      <c r="AZ317" s="1"/>
      <c r="BA317" s="1"/>
    </row>
    <row r="318" spans="1:53" x14ac:dyDescent="0.25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  <c r="AB318" s="1"/>
      <c r="AC318" s="1"/>
      <c r="AD318" s="1"/>
      <c r="AE318" s="1"/>
      <c r="AF318" s="1"/>
      <c r="AG318" s="1"/>
      <c r="AH318" s="1"/>
      <c r="AI318" s="1"/>
      <c r="AJ318" s="1"/>
      <c r="AK318" s="1"/>
      <c r="AL318" s="1"/>
      <c r="AM318" s="1"/>
      <c r="AN318" s="1"/>
      <c r="AO318" s="1"/>
      <c r="AP318" s="1"/>
      <c r="AQ318" s="1"/>
      <c r="AR318" s="1"/>
      <c r="AS318" s="1"/>
      <c r="AT318" s="1"/>
      <c r="AU318" s="1"/>
      <c r="AV318" s="1"/>
      <c r="AW318" s="1"/>
      <c r="AX318" s="1"/>
      <c r="AY318" s="1"/>
      <c r="AZ318" s="1"/>
      <c r="BA318" s="1"/>
    </row>
    <row r="319" spans="1:53" x14ac:dyDescent="0.25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A319" s="1"/>
      <c r="AB319" s="1"/>
      <c r="AC319" s="1"/>
      <c r="AD319" s="1"/>
      <c r="AE319" s="1"/>
      <c r="AF319" s="1"/>
      <c r="AG319" s="1"/>
      <c r="AH319" s="1"/>
      <c r="AI319" s="1"/>
      <c r="AJ319" s="1"/>
      <c r="AK319" s="1"/>
      <c r="AL319" s="1"/>
      <c r="AM319" s="1"/>
      <c r="AN319" s="1"/>
      <c r="AO319" s="1"/>
      <c r="AP319" s="1"/>
      <c r="AQ319" s="1"/>
      <c r="AR319" s="1"/>
      <c r="AS319" s="1"/>
      <c r="AT319" s="1"/>
      <c r="AU319" s="1"/>
      <c r="AV319" s="1"/>
      <c r="AW319" s="1"/>
      <c r="AX319" s="1"/>
      <c r="AY319" s="1"/>
      <c r="AZ319" s="1"/>
      <c r="BA319" s="1"/>
    </row>
    <row r="320" spans="1:53" x14ac:dyDescent="0.2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1"/>
      <c r="AB320" s="1"/>
      <c r="AC320" s="1"/>
      <c r="AD320" s="1"/>
      <c r="AE320" s="1"/>
      <c r="AF320" s="1"/>
      <c r="AG320" s="1"/>
      <c r="AH320" s="1"/>
      <c r="AI320" s="1"/>
      <c r="AJ320" s="1"/>
      <c r="AK320" s="1"/>
      <c r="AL320" s="1"/>
      <c r="AM320" s="1"/>
      <c r="AN320" s="1"/>
      <c r="AO320" s="1"/>
      <c r="AP320" s="1"/>
      <c r="AQ320" s="1"/>
      <c r="AR320" s="1"/>
      <c r="AS320" s="1"/>
      <c r="AT320" s="1"/>
      <c r="AU320" s="1"/>
      <c r="AV320" s="1"/>
      <c r="AW320" s="1"/>
      <c r="AX320" s="1"/>
      <c r="AY320" s="1"/>
      <c r="AZ320" s="1"/>
      <c r="BA320" s="1"/>
    </row>
    <row r="321" spans="1:53" x14ac:dyDescent="0.25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  <c r="AA321" s="1"/>
      <c r="AB321" s="1"/>
      <c r="AC321" s="1"/>
      <c r="AD321" s="1"/>
      <c r="AE321" s="1"/>
      <c r="AF321" s="1"/>
      <c r="AG321" s="1"/>
      <c r="AH321" s="1"/>
      <c r="AI321" s="1"/>
      <c r="AJ321" s="1"/>
      <c r="AK321" s="1"/>
      <c r="AL321" s="1"/>
      <c r="AM321" s="1"/>
      <c r="AN321" s="1"/>
      <c r="AO321" s="1"/>
      <c r="AP321" s="1"/>
      <c r="AQ321" s="1"/>
      <c r="AR321" s="1"/>
      <c r="AS321" s="1"/>
      <c r="AT321" s="1"/>
      <c r="AU321" s="1"/>
      <c r="AV321" s="1"/>
      <c r="AW321" s="1"/>
      <c r="AX321" s="1"/>
      <c r="AY321" s="1"/>
      <c r="AZ321" s="1"/>
      <c r="BA321" s="1"/>
    </row>
    <row r="322" spans="1:53" x14ac:dyDescent="0.25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  <c r="AA322" s="1"/>
      <c r="AB322" s="1"/>
      <c r="AC322" s="1"/>
      <c r="AD322" s="1"/>
      <c r="AE322" s="1"/>
      <c r="AF322" s="1"/>
      <c r="AG322" s="1"/>
      <c r="AH322" s="1"/>
      <c r="AI322" s="1"/>
      <c r="AJ322" s="1"/>
      <c r="AK322" s="1"/>
      <c r="AL322" s="1"/>
      <c r="AM322" s="1"/>
      <c r="AN322" s="1"/>
      <c r="AO322" s="1"/>
      <c r="AP322" s="1"/>
      <c r="AQ322" s="1"/>
      <c r="AR322" s="1"/>
      <c r="AS322" s="1"/>
      <c r="AT322" s="1"/>
      <c r="AU322" s="1"/>
      <c r="AV322" s="1"/>
      <c r="AW322" s="1"/>
      <c r="AX322" s="1"/>
      <c r="AY322" s="1"/>
      <c r="AZ322" s="1"/>
      <c r="BA322" s="1"/>
    </row>
    <row r="323" spans="1:53" x14ac:dyDescent="0.25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  <c r="AA323" s="1"/>
      <c r="AB323" s="1"/>
      <c r="AC323" s="1"/>
      <c r="AD323" s="1"/>
      <c r="AE323" s="1"/>
      <c r="AF323" s="1"/>
      <c r="AG323" s="1"/>
      <c r="AH323" s="1"/>
      <c r="AI323" s="1"/>
      <c r="AJ323" s="1"/>
      <c r="AK323" s="1"/>
      <c r="AL323" s="1"/>
      <c r="AM323" s="1"/>
      <c r="AN323" s="1"/>
      <c r="AO323" s="1"/>
      <c r="AP323" s="1"/>
      <c r="AQ323" s="1"/>
      <c r="AR323" s="1"/>
      <c r="AS323" s="1"/>
      <c r="AT323" s="1"/>
      <c r="AU323" s="1"/>
      <c r="AV323" s="1"/>
      <c r="AW323" s="1"/>
      <c r="AX323" s="1"/>
      <c r="AY323" s="1"/>
      <c r="AZ323" s="1"/>
      <c r="BA323" s="1"/>
    </row>
    <row r="324" spans="1:53" x14ac:dyDescent="0.25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  <c r="AA324" s="1"/>
      <c r="AB324" s="1"/>
      <c r="AC324" s="1"/>
      <c r="AD324" s="1"/>
      <c r="AE324" s="1"/>
      <c r="AF324" s="1"/>
      <c r="AG324" s="1"/>
      <c r="AH324" s="1"/>
      <c r="AI324" s="1"/>
      <c r="AJ324" s="1"/>
      <c r="AK324" s="1"/>
      <c r="AL324" s="1"/>
      <c r="AM324" s="1"/>
      <c r="AN324" s="1"/>
      <c r="AO324" s="1"/>
      <c r="AP324" s="1"/>
      <c r="AQ324" s="1"/>
      <c r="AR324" s="1"/>
      <c r="AS324" s="1"/>
      <c r="AT324" s="1"/>
      <c r="AU324" s="1"/>
      <c r="AV324" s="1"/>
      <c r="AW324" s="1"/>
      <c r="AX324" s="1"/>
      <c r="AY324" s="1"/>
      <c r="AZ324" s="1"/>
      <c r="BA324" s="1"/>
    </row>
    <row r="325" spans="1:53" x14ac:dyDescent="0.25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  <c r="AA325" s="1"/>
      <c r="AB325" s="1"/>
      <c r="AC325" s="1"/>
      <c r="AD325" s="1"/>
      <c r="AE325" s="1"/>
      <c r="AF325" s="1"/>
      <c r="AG325" s="1"/>
      <c r="AH325" s="1"/>
      <c r="AI325" s="1"/>
      <c r="AJ325" s="1"/>
      <c r="AK325" s="1"/>
      <c r="AL325" s="1"/>
      <c r="AM325" s="1"/>
      <c r="AN325" s="1"/>
      <c r="AO325" s="1"/>
      <c r="AP325" s="1"/>
      <c r="AQ325" s="1"/>
      <c r="AR325" s="1"/>
      <c r="AS325" s="1"/>
      <c r="AT325" s="1"/>
      <c r="AU325" s="1"/>
      <c r="AV325" s="1"/>
      <c r="AW325" s="1"/>
      <c r="AX325" s="1"/>
      <c r="AY325" s="1"/>
      <c r="AZ325" s="1"/>
      <c r="BA325" s="1"/>
    </row>
    <row r="326" spans="1:53" x14ac:dyDescent="0.25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  <c r="AA326" s="1"/>
      <c r="AB326" s="1"/>
      <c r="AC326" s="1"/>
      <c r="AD326" s="1"/>
      <c r="AE326" s="1"/>
      <c r="AF326" s="1"/>
      <c r="AG326" s="1"/>
      <c r="AH326" s="1"/>
      <c r="AI326" s="1"/>
      <c r="AJ326" s="1"/>
      <c r="AK326" s="1"/>
      <c r="AL326" s="1"/>
      <c r="AM326" s="1"/>
      <c r="AN326" s="1"/>
      <c r="AO326" s="1"/>
      <c r="AP326" s="1"/>
      <c r="AQ326" s="1"/>
      <c r="AR326" s="1"/>
      <c r="AS326" s="1"/>
      <c r="AT326" s="1"/>
      <c r="AU326" s="1"/>
      <c r="AV326" s="1"/>
      <c r="AW326" s="1"/>
      <c r="AX326" s="1"/>
      <c r="AY326" s="1"/>
      <c r="AZ326" s="1"/>
      <c r="BA326" s="1"/>
    </row>
    <row r="327" spans="1:53" x14ac:dyDescent="0.25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  <c r="AA327" s="1"/>
      <c r="AB327" s="1"/>
      <c r="AC327" s="1"/>
      <c r="AD327" s="1"/>
      <c r="AE327" s="1"/>
      <c r="AF327" s="1"/>
      <c r="AG327" s="1"/>
      <c r="AH327" s="1"/>
      <c r="AI327" s="1"/>
      <c r="AJ327" s="1"/>
      <c r="AK327" s="1"/>
      <c r="AL327" s="1"/>
      <c r="AM327" s="1"/>
      <c r="AN327" s="1"/>
      <c r="AO327" s="1"/>
      <c r="AP327" s="1"/>
      <c r="AQ327" s="1"/>
      <c r="AR327" s="1"/>
      <c r="AS327" s="1"/>
      <c r="AT327" s="1"/>
      <c r="AU327" s="1"/>
      <c r="AV327" s="1"/>
      <c r="AW327" s="1"/>
      <c r="AX327" s="1"/>
      <c r="AY327" s="1"/>
      <c r="AZ327" s="1"/>
      <c r="BA327" s="1"/>
    </row>
    <row r="328" spans="1:53" x14ac:dyDescent="0.25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  <c r="AA328" s="1"/>
      <c r="AB328" s="1"/>
      <c r="AC328" s="1"/>
      <c r="AD328" s="1"/>
      <c r="AE328" s="1"/>
      <c r="AF328" s="1"/>
      <c r="AG328" s="1"/>
      <c r="AH328" s="1"/>
      <c r="AI328" s="1"/>
      <c r="AJ328" s="1"/>
      <c r="AK328" s="1"/>
      <c r="AL328" s="1"/>
      <c r="AM328" s="1"/>
      <c r="AN328" s="1"/>
      <c r="AO328" s="1"/>
      <c r="AP328" s="1"/>
      <c r="AQ328" s="1"/>
      <c r="AR328" s="1"/>
      <c r="AS328" s="1"/>
      <c r="AT328" s="1"/>
      <c r="AU328" s="1"/>
      <c r="AV328" s="1"/>
      <c r="AW328" s="1"/>
      <c r="AX328" s="1"/>
      <c r="AY328" s="1"/>
      <c r="AZ328" s="1"/>
      <c r="BA328" s="1"/>
    </row>
    <row r="329" spans="1:53" x14ac:dyDescent="0.2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  <c r="AA329" s="1"/>
      <c r="AB329" s="1"/>
      <c r="AC329" s="1"/>
      <c r="AD329" s="1"/>
      <c r="AE329" s="1"/>
      <c r="AF329" s="1"/>
      <c r="AG329" s="1"/>
      <c r="AH329" s="1"/>
      <c r="AI329" s="1"/>
      <c r="AJ329" s="1"/>
      <c r="AK329" s="1"/>
      <c r="AL329" s="1"/>
      <c r="AM329" s="1"/>
      <c r="AN329" s="1"/>
      <c r="AO329" s="1"/>
      <c r="AP329" s="1"/>
      <c r="AQ329" s="1"/>
      <c r="AR329" s="1"/>
      <c r="AS329" s="1"/>
      <c r="AT329" s="1"/>
      <c r="AU329" s="1"/>
      <c r="AV329" s="1"/>
      <c r="AW329" s="1"/>
      <c r="AX329" s="1"/>
      <c r="AY329" s="1"/>
      <c r="AZ329" s="1"/>
      <c r="BA329" s="1"/>
    </row>
    <row r="330" spans="1:53" x14ac:dyDescent="0.25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  <c r="AA330" s="1"/>
      <c r="AB330" s="1"/>
      <c r="AC330" s="1"/>
      <c r="AD330" s="1"/>
      <c r="AE330" s="1"/>
      <c r="AF330" s="1"/>
      <c r="AG330" s="1"/>
      <c r="AH330" s="1"/>
      <c r="AI330" s="1"/>
      <c r="AJ330" s="1"/>
      <c r="AK330" s="1"/>
      <c r="AL330" s="1"/>
      <c r="AM330" s="1"/>
      <c r="AN330" s="1"/>
      <c r="AO330" s="1"/>
      <c r="AP330" s="1"/>
      <c r="AQ330" s="1"/>
      <c r="AR330" s="1"/>
      <c r="AS330" s="1"/>
      <c r="AT330" s="1"/>
      <c r="AU330" s="1"/>
      <c r="AV330" s="1"/>
      <c r="AW330" s="1"/>
      <c r="AX330" s="1"/>
      <c r="AY330" s="1"/>
      <c r="AZ330" s="1"/>
      <c r="BA330" s="1"/>
    </row>
    <row r="331" spans="1:53" x14ac:dyDescent="0.25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  <c r="AA331" s="1"/>
      <c r="AB331" s="1"/>
      <c r="AC331" s="1"/>
      <c r="AD331" s="1"/>
      <c r="AE331" s="1"/>
      <c r="AF331" s="1"/>
      <c r="AG331" s="1"/>
      <c r="AH331" s="1"/>
      <c r="AI331" s="1"/>
      <c r="AJ331" s="1"/>
      <c r="AK331" s="1"/>
      <c r="AL331" s="1"/>
      <c r="AM331" s="1"/>
      <c r="AN331" s="1"/>
      <c r="AO331" s="1"/>
      <c r="AP331" s="1"/>
      <c r="AQ331" s="1"/>
      <c r="AR331" s="1"/>
      <c r="AS331" s="1"/>
      <c r="AT331" s="1"/>
      <c r="AU331" s="1"/>
      <c r="AV331" s="1"/>
      <c r="AW331" s="1"/>
      <c r="AX331" s="1"/>
      <c r="AY331" s="1"/>
      <c r="AZ331" s="1"/>
      <c r="BA331" s="1"/>
    </row>
    <row r="332" spans="1:53" x14ac:dyDescent="0.25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  <c r="AA332" s="1"/>
      <c r="AB332" s="1"/>
      <c r="AC332" s="1"/>
      <c r="AD332" s="1"/>
      <c r="AE332" s="1"/>
      <c r="AF332" s="1"/>
      <c r="AG332" s="1"/>
      <c r="AH332" s="1"/>
      <c r="AI332" s="1"/>
      <c r="AJ332" s="1"/>
      <c r="AK332" s="1"/>
      <c r="AL332" s="1"/>
      <c r="AM332" s="1"/>
      <c r="AN332" s="1"/>
      <c r="AO332" s="1"/>
      <c r="AP332" s="1"/>
      <c r="AQ332" s="1"/>
      <c r="AR332" s="1"/>
      <c r="AS332" s="1"/>
      <c r="AT332" s="1"/>
      <c r="AU332" s="1"/>
      <c r="AV332" s="1"/>
      <c r="AW332" s="1"/>
      <c r="AX332" s="1"/>
      <c r="AY332" s="1"/>
      <c r="AZ332" s="1"/>
      <c r="BA332" s="1"/>
    </row>
    <row r="333" spans="1:53" x14ac:dyDescent="0.25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  <c r="AA333" s="1"/>
      <c r="AB333" s="1"/>
      <c r="AC333" s="1"/>
      <c r="AD333" s="1"/>
      <c r="AE333" s="1"/>
      <c r="AF333" s="1"/>
      <c r="AG333" s="1"/>
      <c r="AH333" s="1"/>
      <c r="AI333" s="1"/>
      <c r="AJ333" s="1"/>
      <c r="AK333" s="1"/>
      <c r="AL333" s="1"/>
      <c r="AM333" s="1"/>
      <c r="AN333" s="1"/>
      <c r="AO333" s="1"/>
      <c r="AP333" s="1"/>
      <c r="AQ333" s="1"/>
      <c r="AR333" s="1"/>
      <c r="AS333" s="1"/>
      <c r="AT333" s="1"/>
      <c r="AU333" s="1"/>
      <c r="AV333" s="1"/>
      <c r="AW333" s="1"/>
      <c r="AX333" s="1"/>
      <c r="AY333" s="1"/>
      <c r="AZ333" s="1"/>
      <c r="BA333" s="1"/>
    </row>
    <row r="334" spans="1:53" x14ac:dyDescent="0.25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  <c r="AA334" s="1"/>
      <c r="AB334" s="1"/>
      <c r="AC334" s="1"/>
      <c r="AD334" s="1"/>
      <c r="AE334" s="1"/>
      <c r="AF334" s="1"/>
      <c r="AG334" s="1"/>
      <c r="AH334" s="1"/>
      <c r="AI334" s="1"/>
      <c r="AJ334" s="1"/>
      <c r="AK334" s="1"/>
      <c r="AL334" s="1"/>
      <c r="AM334" s="1"/>
      <c r="AN334" s="1"/>
      <c r="AO334" s="1"/>
      <c r="AP334" s="1"/>
      <c r="AQ334" s="1"/>
      <c r="AR334" s="1"/>
      <c r="AS334" s="1"/>
      <c r="AT334" s="1"/>
      <c r="AU334" s="1"/>
      <c r="AV334" s="1"/>
      <c r="AW334" s="1"/>
      <c r="AX334" s="1"/>
      <c r="AY334" s="1"/>
      <c r="AZ334" s="1"/>
      <c r="BA334" s="1"/>
    </row>
    <row r="335" spans="1:53" x14ac:dyDescent="0.25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  <c r="AA335" s="1"/>
      <c r="AB335" s="1"/>
      <c r="AC335" s="1"/>
      <c r="AD335" s="1"/>
      <c r="AE335" s="1"/>
      <c r="AF335" s="1"/>
      <c r="AG335" s="1"/>
      <c r="AH335" s="1"/>
      <c r="AI335" s="1"/>
      <c r="AJ335" s="1"/>
      <c r="AK335" s="1"/>
      <c r="AL335" s="1"/>
      <c r="AM335" s="1"/>
      <c r="AN335" s="1"/>
      <c r="AO335" s="1"/>
      <c r="AP335" s="1"/>
      <c r="AQ335" s="1"/>
      <c r="AR335" s="1"/>
      <c r="AS335" s="1"/>
      <c r="AT335" s="1"/>
      <c r="AU335" s="1"/>
      <c r="AV335" s="1"/>
      <c r="AW335" s="1"/>
      <c r="AX335" s="1"/>
      <c r="AY335" s="1"/>
      <c r="AZ335" s="1"/>
      <c r="BA335" s="1"/>
    </row>
    <row r="336" spans="1:53" x14ac:dyDescent="0.25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  <c r="AA336" s="1"/>
      <c r="AB336" s="1"/>
      <c r="AC336" s="1"/>
      <c r="AD336" s="1"/>
      <c r="AE336" s="1"/>
      <c r="AF336" s="1"/>
      <c r="AG336" s="1"/>
      <c r="AH336" s="1"/>
      <c r="AI336" s="1"/>
      <c r="AJ336" s="1"/>
      <c r="AK336" s="1"/>
      <c r="AL336" s="1"/>
      <c r="AM336" s="1"/>
      <c r="AN336" s="1"/>
      <c r="AO336" s="1"/>
      <c r="AP336" s="1"/>
      <c r="AQ336" s="1"/>
      <c r="AR336" s="1"/>
      <c r="AS336" s="1"/>
      <c r="AT336" s="1"/>
      <c r="AU336" s="1"/>
      <c r="AV336" s="1"/>
      <c r="AW336" s="1"/>
      <c r="AX336" s="1"/>
      <c r="AY336" s="1"/>
      <c r="AZ336" s="1"/>
      <c r="BA336" s="1"/>
    </row>
    <row r="337" spans="1:53" x14ac:dyDescent="0.25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  <c r="AA337" s="1"/>
      <c r="AB337" s="1"/>
      <c r="AC337" s="1"/>
      <c r="AD337" s="1"/>
      <c r="AE337" s="1"/>
      <c r="AF337" s="1"/>
      <c r="AG337" s="1"/>
      <c r="AH337" s="1"/>
      <c r="AI337" s="1"/>
      <c r="AJ337" s="1"/>
      <c r="AK337" s="1"/>
      <c r="AL337" s="1"/>
      <c r="AM337" s="1"/>
      <c r="AN337" s="1"/>
      <c r="AO337" s="1"/>
      <c r="AP337" s="1"/>
      <c r="AQ337" s="1"/>
      <c r="AR337" s="1"/>
      <c r="AS337" s="1"/>
      <c r="AT337" s="1"/>
      <c r="AU337" s="1"/>
      <c r="AV337" s="1"/>
      <c r="AW337" s="1"/>
      <c r="AX337" s="1"/>
      <c r="AY337" s="1"/>
      <c r="AZ337" s="1"/>
      <c r="BA337" s="1"/>
    </row>
    <row r="338" spans="1:53" x14ac:dyDescent="0.25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  <c r="AB338" s="1"/>
      <c r="AC338" s="1"/>
      <c r="AD338" s="1"/>
      <c r="AE338" s="1"/>
      <c r="AF338" s="1"/>
      <c r="AG338" s="1"/>
      <c r="AH338" s="1"/>
      <c r="AI338" s="1"/>
      <c r="AJ338" s="1"/>
      <c r="AK338" s="1"/>
      <c r="AL338" s="1"/>
      <c r="AM338" s="1"/>
      <c r="AN338" s="1"/>
      <c r="AO338" s="1"/>
      <c r="AP338" s="1"/>
      <c r="AQ338" s="1"/>
      <c r="AR338" s="1"/>
      <c r="AS338" s="1"/>
      <c r="AT338" s="1"/>
      <c r="AU338" s="1"/>
      <c r="AV338" s="1"/>
      <c r="AW338" s="1"/>
      <c r="AX338" s="1"/>
      <c r="AY338" s="1"/>
      <c r="AZ338" s="1"/>
      <c r="BA338" s="1"/>
    </row>
    <row r="339" spans="1:53" x14ac:dyDescent="0.25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A339" s="1"/>
      <c r="AB339" s="1"/>
      <c r="AC339" s="1"/>
      <c r="AD339" s="1"/>
      <c r="AE339" s="1"/>
      <c r="AF339" s="1"/>
      <c r="AG339" s="1"/>
      <c r="AH339" s="1"/>
      <c r="AI339" s="1"/>
      <c r="AJ339" s="1"/>
      <c r="AK339" s="1"/>
      <c r="AL339" s="1"/>
      <c r="AM339" s="1"/>
      <c r="AN339" s="1"/>
      <c r="AO339" s="1"/>
      <c r="AP339" s="1"/>
      <c r="AQ339" s="1"/>
      <c r="AR339" s="1"/>
      <c r="AS339" s="1"/>
      <c r="AT339" s="1"/>
      <c r="AU339" s="1"/>
      <c r="AV339" s="1"/>
      <c r="AW339" s="1"/>
      <c r="AX339" s="1"/>
      <c r="AY339" s="1"/>
      <c r="AZ339" s="1"/>
      <c r="BA339" s="1"/>
    </row>
    <row r="340" spans="1:53" x14ac:dyDescent="0.25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A340" s="1"/>
      <c r="AB340" s="1"/>
      <c r="AC340" s="1"/>
      <c r="AD340" s="1"/>
      <c r="AE340" s="1"/>
      <c r="AF340" s="1"/>
      <c r="AG340" s="1"/>
      <c r="AH340" s="1"/>
      <c r="AI340" s="1"/>
      <c r="AJ340" s="1"/>
      <c r="AK340" s="1"/>
      <c r="AL340" s="1"/>
      <c r="AM340" s="1"/>
      <c r="AN340" s="1"/>
      <c r="AO340" s="1"/>
      <c r="AP340" s="1"/>
      <c r="AQ340" s="1"/>
      <c r="AR340" s="1"/>
      <c r="AS340" s="1"/>
      <c r="AT340" s="1"/>
      <c r="AU340" s="1"/>
      <c r="AV340" s="1"/>
      <c r="AW340" s="1"/>
      <c r="AX340" s="1"/>
      <c r="AY340" s="1"/>
      <c r="AZ340" s="1"/>
      <c r="BA340" s="1"/>
    </row>
    <row r="341" spans="1:53" x14ac:dyDescent="0.25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1"/>
      <c r="AB341" s="1"/>
      <c r="AC341" s="1"/>
      <c r="AD341" s="1"/>
      <c r="AE341" s="1"/>
      <c r="AF341" s="1"/>
      <c r="AG341" s="1"/>
      <c r="AH341" s="1"/>
      <c r="AI341" s="1"/>
      <c r="AJ341" s="1"/>
      <c r="AK341" s="1"/>
      <c r="AL341" s="1"/>
      <c r="AM341" s="1"/>
      <c r="AN341" s="1"/>
      <c r="AO341" s="1"/>
      <c r="AP341" s="1"/>
      <c r="AQ341" s="1"/>
      <c r="AR341" s="1"/>
      <c r="AS341" s="1"/>
      <c r="AT341" s="1"/>
      <c r="AU341" s="1"/>
      <c r="AV341" s="1"/>
      <c r="AW341" s="1"/>
      <c r="AX341" s="1"/>
      <c r="AY341" s="1"/>
      <c r="AZ341" s="1"/>
      <c r="BA341" s="1"/>
    </row>
    <row r="342" spans="1:53" x14ac:dyDescent="0.25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1"/>
      <c r="AB342" s="1"/>
      <c r="AC342" s="1"/>
      <c r="AD342" s="1"/>
      <c r="AE342" s="1"/>
      <c r="AF342" s="1"/>
      <c r="AG342" s="1"/>
      <c r="AH342" s="1"/>
      <c r="AI342" s="1"/>
      <c r="AJ342" s="1"/>
      <c r="AK342" s="1"/>
      <c r="AL342" s="1"/>
      <c r="AM342" s="1"/>
      <c r="AN342" s="1"/>
      <c r="AO342" s="1"/>
      <c r="AP342" s="1"/>
      <c r="AQ342" s="1"/>
      <c r="AR342" s="1"/>
      <c r="AS342" s="1"/>
      <c r="AT342" s="1"/>
      <c r="AU342" s="1"/>
      <c r="AV342" s="1"/>
      <c r="AW342" s="1"/>
      <c r="AX342" s="1"/>
      <c r="AY342" s="1"/>
      <c r="AZ342" s="1"/>
      <c r="BA342" s="1"/>
    </row>
    <row r="343" spans="1:53" x14ac:dyDescent="0.25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  <c r="AB343" s="1"/>
      <c r="AC343" s="1"/>
      <c r="AD343" s="1"/>
      <c r="AE343" s="1"/>
      <c r="AF343" s="1"/>
      <c r="AG343" s="1"/>
      <c r="AH343" s="1"/>
      <c r="AI343" s="1"/>
      <c r="AJ343" s="1"/>
      <c r="AK343" s="1"/>
      <c r="AL343" s="1"/>
      <c r="AM343" s="1"/>
      <c r="AN343" s="1"/>
      <c r="AO343" s="1"/>
      <c r="AP343" s="1"/>
      <c r="AQ343" s="1"/>
      <c r="AR343" s="1"/>
      <c r="AS343" s="1"/>
      <c r="AT343" s="1"/>
      <c r="AU343" s="1"/>
      <c r="AV343" s="1"/>
      <c r="AW343" s="1"/>
      <c r="AX343" s="1"/>
      <c r="AY343" s="1"/>
      <c r="AZ343" s="1"/>
      <c r="BA343" s="1"/>
    </row>
    <row r="344" spans="1:53" x14ac:dyDescent="0.25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1"/>
      <c r="AB344" s="1"/>
      <c r="AC344" s="1"/>
      <c r="AD344" s="1"/>
      <c r="AE344" s="1"/>
      <c r="AF344" s="1"/>
      <c r="AG344" s="1"/>
      <c r="AH344" s="1"/>
      <c r="AI344" s="1"/>
      <c r="AJ344" s="1"/>
      <c r="AK344" s="1"/>
      <c r="AL344" s="1"/>
      <c r="AM344" s="1"/>
      <c r="AN344" s="1"/>
      <c r="AO344" s="1"/>
      <c r="AP344" s="1"/>
      <c r="AQ344" s="1"/>
      <c r="AR344" s="1"/>
      <c r="AS344" s="1"/>
      <c r="AT344" s="1"/>
      <c r="AU344" s="1"/>
      <c r="AV344" s="1"/>
      <c r="AW344" s="1"/>
      <c r="AX344" s="1"/>
      <c r="AY344" s="1"/>
      <c r="AZ344" s="1"/>
      <c r="BA344" s="1"/>
    </row>
    <row r="345" spans="1:53" x14ac:dyDescent="0.25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  <c r="AB345" s="1"/>
      <c r="AC345" s="1"/>
      <c r="AD345" s="1"/>
      <c r="AE345" s="1"/>
      <c r="AF345" s="1"/>
      <c r="AG345" s="1"/>
      <c r="AH345" s="1"/>
      <c r="AI345" s="1"/>
      <c r="AJ345" s="1"/>
      <c r="AK345" s="1"/>
      <c r="AL345" s="1"/>
      <c r="AM345" s="1"/>
      <c r="AN345" s="1"/>
      <c r="AO345" s="1"/>
      <c r="AP345" s="1"/>
      <c r="AQ345" s="1"/>
      <c r="AR345" s="1"/>
      <c r="AS345" s="1"/>
      <c r="AT345" s="1"/>
      <c r="AU345" s="1"/>
      <c r="AV345" s="1"/>
      <c r="AW345" s="1"/>
      <c r="AX345" s="1"/>
      <c r="AY345" s="1"/>
      <c r="AZ345" s="1"/>
      <c r="BA345" s="1"/>
    </row>
    <row r="346" spans="1:53" x14ac:dyDescent="0.25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1"/>
      <c r="AB346" s="1"/>
      <c r="AC346" s="1"/>
      <c r="AD346" s="1"/>
      <c r="AE346" s="1"/>
      <c r="AF346" s="1"/>
      <c r="AG346" s="1"/>
      <c r="AH346" s="1"/>
      <c r="AI346" s="1"/>
      <c r="AJ346" s="1"/>
      <c r="AK346" s="1"/>
      <c r="AL346" s="1"/>
      <c r="AM346" s="1"/>
      <c r="AN346" s="1"/>
      <c r="AO346" s="1"/>
      <c r="AP346" s="1"/>
      <c r="AQ346" s="1"/>
      <c r="AR346" s="1"/>
      <c r="AS346" s="1"/>
      <c r="AT346" s="1"/>
      <c r="AU346" s="1"/>
      <c r="AV346" s="1"/>
      <c r="AW346" s="1"/>
      <c r="AX346" s="1"/>
      <c r="AY346" s="1"/>
      <c r="AZ346" s="1"/>
      <c r="BA346" s="1"/>
    </row>
    <row r="347" spans="1:53" x14ac:dyDescent="0.25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  <c r="AB347" s="1"/>
      <c r="AC347" s="1"/>
      <c r="AD347" s="1"/>
      <c r="AE347" s="1"/>
      <c r="AF347" s="1"/>
      <c r="AG347" s="1"/>
      <c r="AH347" s="1"/>
      <c r="AI347" s="1"/>
      <c r="AJ347" s="1"/>
      <c r="AK347" s="1"/>
      <c r="AL347" s="1"/>
      <c r="AM347" s="1"/>
      <c r="AN347" s="1"/>
      <c r="AO347" s="1"/>
      <c r="AP347" s="1"/>
      <c r="AQ347" s="1"/>
      <c r="AR347" s="1"/>
      <c r="AS347" s="1"/>
      <c r="AT347" s="1"/>
      <c r="AU347" s="1"/>
      <c r="AV347" s="1"/>
      <c r="AW347" s="1"/>
      <c r="AX347" s="1"/>
      <c r="AY347" s="1"/>
      <c r="AZ347" s="1"/>
      <c r="BA347" s="1"/>
    </row>
    <row r="348" spans="1:53" x14ac:dyDescent="0.25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  <c r="AB348" s="1"/>
      <c r="AC348" s="1"/>
      <c r="AD348" s="1"/>
      <c r="AE348" s="1"/>
      <c r="AF348" s="1"/>
      <c r="AG348" s="1"/>
      <c r="AH348" s="1"/>
      <c r="AI348" s="1"/>
      <c r="AJ348" s="1"/>
      <c r="AK348" s="1"/>
      <c r="AL348" s="1"/>
      <c r="AM348" s="1"/>
      <c r="AN348" s="1"/>
      <c r="AO348" s="1"/>
      <c r="AP348" s="1"/>
      <c r="AQ348" s="1"/>
      <c r="AR348" s="1"/>
      <c r="AS348" s="1"/>
      <c r="AT348" s="1"/>
      <c r="AU348" s="1"/>
      <c r="AV348" s="1"/>
      <c r="AW348" s="1"/>
      <c r="AX348" s="1"/>
      <c r="AY348" s="1"/>
      <c r="AZ348" s="1"/>
      <c r="BA348" s="1"/>
    </row>
    <row r="349" spans="1:53" x14ac:dyDescent="0.25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  <c r="AB349" s="1"/>
      <c r="AC349" s="1"/>
      <c r="AD349" s="1"/>
      <c r="AE349" s="1"/>
      <c r="AF349" s="1"/>
      <c r="AG349" s="1"/>
      <c r="AH349" s="1"/>
      <c r="AI349" s="1"/>
      <c r="AJ349" s="1"/>
      <c r="AK349" s="1"/>
      <c r="AL349" s="1"/>
      <c r="AM349" s="1"/>
      <c r="AN349" s="1"/>
      <c r="AO349" s="1"/>
      <c r="AP349" s="1"/>
      <c r="AQ349" s="1"/>
      <c r="AR349" s="1"/>
      <c r="AS349" s="1"/>
      <c r="AT349" s="1"/>
      <c r="AU349" s="1"/>
      <c r="AV349" s="1"/>
      <c r="AW349" s="1"/>
      <c r="AX349" s="1"/>
      <c r="AY349" s="1"/>
      <c r="AZ349" s="1"/>
      <c r="BA349" s="1"/>
    </row>
    <row r="350" spans="1:53" x14ac:dyDescent="0.25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  <c r="AB350" s="1"/>
      <c r="AC350" s="1"/>
      <c r="AD350" s="1"/>
      <c r="AE350" s="1"/>
      <c r="AF350" s="1"/>
      <c r="AG350" s="1"/>
      <c r="AH350" s="1"/>
      <c r="AI350" s="1"/>
      <c r="AJ350" s="1"/>
      <c r="AK350" s="1"/>
      <c r="AL350" s="1"/>
      <c r="AM350" s="1"/>
      <c r="AN350" s="1"/>
      <c r="AO350" s="1"/>
      <c r="AP350" s="1"/>
      <c r="AQ350" s="1"/>
      <c r="AR350" s="1"/>
      <c r="AS350" s="1"/>
      <c r="AT350" s="1"/>
      <c r="AU350" s="1"/>
      <c r="AV350" s="1"/>
      <c r="AW350" s="1"/>
      <c r="AX350" s="1"/>
      <c r="AY350" s="1"/>
      <c r="AZ350" s="1"/>
      <c r="BA350" s="1"/>
    </row>
    <row r="351" spans="1:53" x14ac:dyDescent="0.25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"/>
      <c r="AB351" s="1"/>
      <c r="AC351" s="1"/>
      <c r="AD351" s="1"/>
      <c r="AE351" s="1"/>
      <c r="AF351" s="1"/>
      <c r="AG351" s="1"/>
      <c r="AH351" s="1"/>
      <c r="AI351" s="1"/>
      <c r="AJ351" s="1"/>
      <c r="AK351" s="1"/>
      <c r="AL351" s="1"/>
      <c r="AM351" s="1"/>
      <c r="AN351" s="1"/>
      <c r="AO351" s="1"/>
      <c r="AP351" s="1"/>
      <c r="AQ351" s="1"/>
      <c r="AR351" s="1"/>
      <c r="AS351" s="1"/>
      <c r="AT351" s="1"/>
      <c r="AU351" s="1"/>
      <c r="AV351" s="1"/>
      <c r="AW351" s="1"/>
      <c r="AX351" s="1"/>
      <c r="AY351" s="1"/>
      <c r="AZ351" s="1"/>
      <c r="BA351" s="1"/>
    </row>
    <row r="352" spans="1:53" x14ac:dyDescent="0.25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  <c r="AB352" s="1"/>
      <c r="AC352" s="1"/>
      <c r="AD352" s="1"/>
      <c r="AE352" s="1"/>
      <c r="AF352" s="1"/>
      <c r="AG352" s="1"/>
      <c r="AH352" s="1"/>
      <c r="AI352" s="1"/>
      <c r="AJ352" s="1"/>
      <c r="AK352" s="1"/>
      <c r="AL352" s="1"/>
      <c r="AM352" s="1"/>
      <c r="AN352" s="1"/>
      <c r="AO352" s="1"/>
      <c r="AP352" s="1"/>
      <c r="AQ352" s="1"/>
      <c r="AR352" s="1"/>
      <c r="AS352" s="1"/>
      <c r="AT352" s="1"/>
      <c r="AU352" s="1"/>
      <c r="AV352" s="1"/>
      <c r="AW352" s="1"/>
      <c r="AX352" s="1"/>
      <c r="AY352" s="1"/>
      <c r="AZ352" s="1"/>
      <c r="BA352" s="1"/>
    </row>
    <row r="353" spans="1:53" x14ac:dyDescent="0.25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  <c r="AB353" s="1"/>
      <c r="AC353" s="1"/>
      <c r="AD353" s="1"/>
      <c r="AE353" s="1"/>
      <c r="AF353" s="1"/>
      <c r="AG353" s="1"/>
      <c r="AH353" s="1"/>
      <c r="AI353" s="1"/>
      <c r="AJ353" s="1"/>
      <c r="AK353" s="1"/>
      <c r="AL353" s="1"/>
      <c r="AM353" s="1"/>
      <c r="AN353" s="1"/>
      <c r="AO353" s="1"/>
      <c r="AP353" s="1"/>
      <c r="AQ353" s="1"/>
      <c r="AR353" s="1"/>
      <c r="AS353" s="1"/>
      <c r="AT353" s="1"/>
      <c r="AU353" s="1"/>
      <c r="AV353" s="1"/>
      <c r="AW353" s="1"/>
      <c r="AX353" s="1"/>
      <c r="AY353" s="1"/>
      <c r="AZ353" s="1"/>
      <c r="BA353" s="1"/>
    </row>
    <row r="354" spans="1:53" x14ac:dyDescent="0.25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  <c r="AA354" s="1"/>
      <c r="AB354" s="1"/>
      <c r="AC354" s="1"/>
      <c r="AD354" s="1"/>
      <c r="AE354" s="1"/>
      <c r="AF354" s="1"/>
      <c r="AG354" s="1"/>
      <c r="AH354" s="1"/>
      <c r="AI354" s="1"/>
      <c r="AJ354" s="1"/>
      <c r="AK354" s="1"/>
      <c r="AL354" s="1"/>
      <c r="AM354" s="1"/>
      <c r="AN354" s="1"/>
      <c r="AO354" s="1"/>
      <c r="AP354" s="1"/>
      <c r="AQ354" s="1"/>
      <c r="AR354" s="1"/>
      <c r="AS354" s="1"/>
      <c r="AT354" s="1"/>
      <c r="AU354" s="1"/>
      <c r="AV354" s="1"/>
      <c r="AW354" s="1"/>
      <c r="AX354" s="1"/>
      <c r="AY354" s="1"/>
      <c r="AZ354" s="1"/>
      <c r="BA354" s="1"/>
    </row>
    <row r="355" spans="1:53" x14ac:dyDescent="0.25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  <c r="AA355" s="1"/>
      <c r="AB355" s="1"/>
      <c r="AC355" s="1"/>
      <c r="AD355" s="1"/>
      <c r="AE355" s="1"/>
      <c r="AF355" s="1"/>
      <c r="AG355" s="1"/>
      <c r="AH355" s="1"/>
      <c r="AI355" s="1"/>
      <c r="AJ355" s="1"/>
      <c r="AK355" s="1"/>
      <c r="AL355" s="1"/>
      <c r="AM355" s="1"/>
      <c r="AN355" s="1"/>
      <c r="AO355" s="1"/>
      <c r="AP355" s="1"/>
      <c r="AQ355" s="1"/>
      <c r="AR355" s="1"/>
      <c r="AS355" s="1"/>
      <c r="AT355" s="1"/>
      <c r="AU355" s="1"/>
      <c r="AV355" s="1"/>
      <c r="AW355" s="1"/>
      <c r="AX355" s="1"/>
      <c r="AY355" s="1"/>
      <c r="AZ355" s="1"/>
      <c r="BA355" s="1"/>
    </row>
    <row r="356" spans="1:53" x14ac:dyDescent="0.25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  <c r="AA356" s="1"/>
      <c r="AB356" s="1"/>
      <c r="AC356" s="1"/>
      <c r="AD356" s="1"/>
      <c r="AE356" s="1"/>
      <c r="AF356" s="1"/>
      <c r="AG356" s="1"/>
      <c r="AH356" s="1"/>
      <c r="AI356" s="1"/>
      <c r="AJ356" s="1"/>
      <c r="AK356" s="1"/>
      <c r="AL356" s="1"/>
      <c r="AM356" s="1"/>
      <c r="AN356" s="1"/>
      <c r="AO356" s="1"/>
      <c r="AP356" s="1"/>
      <c r="AQ356" s="1"/>
      <c r="AR356" s="1"/>
      <c r="AS356" s="1"/>
      <c r="AT356" s="1"/>
      <c r="AU356" s="1"/>
      <c r="AV356" s="1"/>
      <c r="AW356" s="1"/>
      <c r="AX356" s="1"/>
      <c r="AY356" s="1"/>
      <c r="AZ356" s="1"/>
      <c r="BA356" s="1"/>
    </row>
    <row r="357" spans="1:53" x14ac:dyDescent="0.25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  <c r="AA357" s="1"/>
      <c r="AB357" s="1"/>
      <c r="AC357" s="1"/>
      <c r="AD357" s="1"/>
      <c r="AE357" s="1"/>
      <c r="AF357" s="1"/>
      <c r="AG357" s="1"/>
      <c r="AH357" s="1"/>
      <c r="AI357" s="1"/>
      <c r="AJ357" s="1"/>
      <c r="AK357" s="1"/>
      <c r="AL357" s="1"/>
      <c r="AM357" s="1"/>
      <c r="AN357" s="1"/>
      <c r="AO357" s="1"/>
      <c r="AP357" s="1"/>
      <c r="AQ357" s="1"/>
      <c r="AR357" s="1"/>
      <c r="AS357" s="1"/>
      <c r="AT357" s="1"/>
      <c r="AU357" s="1"/>
      <c r="AV357" s="1"/>
      <c r="AW357" s="1"/>
      <c r="AX357" s="1"/>
      <c r="AY357" s="1"/>
      <c r="AZ357" s="1"/>
      <c r="BA357" s="1"/>
    </row>
    <row r="358" spans="1:53" x14ac:dyDescent="0.25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  <c r="AA358" s="1"/>
      <c r="AB358" s="1"/>
      <c r="AC358" s="1"/>
      <c r="AD358" s="1"/>
      <c r="AE358" s="1"/>
      <c r="AF358" s="1"/>
      <c r="AG358" s="1"/>
      <c r="AH358" s="1"/>
      <c r="AI358" s="1"/>
      <c r="AJ358" s="1"/>
      <c r="AK358" s="1"/>
      <c r="AL358" s="1"/>
      <c r="AM358" s="1"/>
      <c r="AN358" s="1"/>
      <c r="AO358" s="1"/>
      <c r="AP358" s="1"/>
      <c r="AQ358" s="1"/>
      <c r="AR358" s="1"/>
      <c r="AS358" s="1"/>
      <c r="AT358" s="1"/>
      <c r="AU358" s="1"/>
      <c r="AV358" s="1"/>
      <c r="AW358" s="1"/>
      <c r="AX358" s="1"/>
      <c r="AY358" s="1"/>
      <c r="AZ358" s="1"/>
      <c r="BA358" s="1"/>
    </row>
    <row r="359" spans="1:53" x14ac:dyDescent="0.25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  <c r="AA359" s="1"/>
      <c r="AB359" s="1"/>
      <c r="AC359" s="1"/>
      <c r="AD359" s="1"/>
      <c r="AE359" s="1"/>
      <c r="AF359" s="1"/>
      <c r="AG359" s="1"/>
      <c r="AH359" s="1"/>
      <c r="AI359" s="1"/>
      <c r="AJ359" s="1"/>
      <c r="AK359" s="1"/>
      <c r="AL359" s="1"/>
      <c r="AM359" s="1"/>
      <c r="AN359" s="1"/>
      <c r="AO359" s="1"/>
      <c r="AP359" s="1"/>
      <c r="AQ359" s="1"/>
      <c r="AR359" s="1"/>
      <c r="AS359" s="1"/>
      <c r="AT359" s="1"/>
      <c r="AU359" s="1"/>
      <c r="AV359" s="1"/>
      <c r="AW359" s="1"/>
      <c r="AX359" s="1"/>
      <c r="AY359" s="1"/>
      <c r="AZ359" s="1"/>
      <c r="BA359" s="1"/>
    </row>
    <row r="360" spans="1:53" x14ac:dyDescent="0.25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  <c r="AA360" s="1"/>
      <c r="AB360" s="1"/>
      <c r="AC360" s="1"/>
      <c r="AD360" s="1"/>
      <c r="AE360" s="1"/>
      <c r="AF360" s="1"/>
      <c r="AG360" s="1"/>
      <c r="AH360" s="1"/>
      <c r="AI360" s="1"/>
      <c r="AJ360" s="1"/>
      <c r="AK360" s="1"/>
      <c r="AL360" s="1"/>
      <c r="AM360" s="1"/>
      <c r="AN360" s="1"/>
      <c r="AO360" s="1"/>
      <c r="AP360" s="1"/>
      <c r="AQ360" s="1"/>
      <c r="AR360" s="1"/>
      <c r="AS360" s="1"/>
      <c r="AT360" s="1"/>
      <c r="AU360" s="1"/>
      <c r="AV360" s="1"/>
      <c r="AW360" s="1"/>
      <c r="AX360" s="1"/>
      <c r="AY360" s="1"/>
      <c r="AZ360" s="1"/>
      <c r="BA360" s="1"/>
    </row>
    <row r="361" spans="1:53" x14ac:dyDescent="0.25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  <c r="AA361" s="1"/>
      <c r="AB361" s="1"/>
      <c r="AC361" s="1"/>
      <c r="AD361" s="1"/>
      <c r="AE361" s="1"/>
      <c r="AF361" s="1"/>
      <c r="AG361" s="1"/>
      <c r="AH361" s="1"/>
      <c r="AI361" s="1"/>
      <c r="AJ361" s="1"/>
      <c r="AK361" s="1"/>
      <c r="AL361" s="1"/>
      <c r="AM361" s="1"/>
      <c r="AN361" s="1"/>
      <c r="AO361" s="1"/>
      <c r="AP361" s="1"/>
      <c r="AQ361" s="1"/>
      <c r="AR361" s="1"/>
      <c r="AS361" s="1"/>
      <c r="AT361" s="1"/>
      <c r="AU361" s="1"/>
      <c r="AV361" s="1"/>
      <c r="AW361" s="1"/>
      <c r="AX361" s="1"/>
      <c r="AY361" s="1"/>
      <c r="AZ361" s="1"/>
      <c r="BA361" s="1"/>
    </row>
    <row r="362" spans="1:53" x14ac:dyDescent="0.25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  <c r="AA362" s="1"/>
      <c r="AB362" s="1"/>
      <c r="AC362" s="1"/>
      <c r="AD362" s="1"/>
      <c r="AE362" s="1"/>
      <c r="AF362" s="1"/>
      <c r="AG362" s="1"/>
      <c r="AH362" s="1"/>
      <c r="AI362" s="1"/>
      <c r="AJ362" s="1"/>
      <c r="AK362" s="1"/>
      <c r="AL362" s="1"/>
      <c r="AM362" s="1"/>
      <c r="AN362" s="1"/>
      <c r="AO362" s="1"/>
      <c r="AP362" s="1"/>
      <c r="AQ362" s="1"/>
      <c r="AR362" s="1"/>
      <c r="AS362" s="1"/>
      <c r="AT362" s="1"/>
      <c r="AU362" s="1"/>
      <c r="AV362" s="1"/>
      <c r="AW362" s="1"/>
      <c r="AX362" s="1"/>
      <c r="AY362" s="1"/>
      <c r="AZ362" s="1"/>
      <c r="BA362" s="1"/>
    </row>
    <row r="363" spans="1:53" x14ac:dyDescent="0.25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  <c r="AA363" s="1"/>
      <c r="AB363" s="1"/>
      <c r="AC363" s="1"/>
      <c r="AD363" s="1"/>
      <c r="AE363" s="1"/>
      <c r="AF363" s="1"/>
      <c r="AG363" s="1"/>
      <c r="AH363" s="1"/>
      <c r="AI363" s="1"/>
      <c r="AJ363" s="1"/>
      <c r="AK363" s="1"/>
      <c r="AL363" s="1"/>
      <c r="AM363" s="1"/>
      <c r="AN363" s="1"/>
      <c r="AO363" s="1"/>
      <c r="AP363" s="1"/>
      <c r="AQ363" s="1"/>
      <c r="AR363" s="1"/>
      <c r="AS363" s="1"/>
      <c r="AT363" s="1"/>
      <c r="AU363" s="1"/>
      <c r="AV363" s="1"/>
      <c r="AW363" s="1"/>
      <c r="AX363" s="1"/>
      <c r="AY363" s="1"/>
      <c r="AZ363" s="1"/>
      <c r="BA363" s="1"/>
    </row>
    <row r="364" spans="1:53" x14ac:dyDescent="0.2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  <c r="AB364" s="1"/>
      <c r="AC364" s="1"/>
      <c r="AD364" s="1"/>
      <c r="AE364" s="1"/>
      <c r="AF364" s="1"/>
      <c r="AG364" s="1"/>
      <c r="AH364" s="1"/>
      <c r="AI364" s="1"/>
      <c r="AJ364" s="1"/>
      <c r="AK364" s="1"/>
      <c r="AL364" s="1"/>
      <c r="AM364" s="1"/>
      <c r="AN364" s="1"/>
      <c r="AO364" s="1"/>
      <c r="AP364" s="1"/>
      <c r="AQ364" s="1"/>
      <c r="AR364" s="1"/>
      <c r="AS364" s="1"/>
      <c r="AT364" s="1"/>
      <c r="AU364" s="1"/>
      <c r="AV364" s="1"/>
      <c r="AW364" s="1"/>
      <c r="AX364" s="1"/>
      <c r="AY364" s="1"/>
      <c r="AZ364" s="1"/>
      <c r="BA364" s="1"/>
    </row>
    <row r="365" spans="1:53" x14ac:dyDescent="0.25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  <c r="AA365" s="1"/>
      <c r="AB365" s="1"/>
      <c r="AC365" s="1"/>
      <c r="AD365" s="1"/>
      <c r="AE365" s="1"/>
      <c r="AF365" s="1"/>
      <c r="AG365" s="1"/>
      <c r="AH365" s="1"/>
      <c r="AI365" s="1"/>
      <c r="AJ365" s="1"/>
      <c r="AK365" s="1"/>
      <c r="AL365" s="1"/>
      <c r="AM365" s="1"/>
      <c r="AN365" s="1"/>
      <c r="AO365" s="1"/>
      <c r="AP365" s="1"/>
      <c r="AQ365" s="1"/>
      <c r="AR365" s="1"/>
      <c r="AS365" s="1"/>
      <c r="AT365" s="1"/>
      <c r="AU365" s="1"/>
      <c r="AV365" s="1"/>
      <c r="AW365" s="1"/>
      <c r="AX365" s="1"/>
      <c r="AY365" s="1"/>
      <c r="AZ365" s="1"/>
      <c r="BA365" s="1"/>
    </row>
    <row r="366" spans="1:53" x14ac:dyDescent="0.25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  <c r="AA366" s="1"/>
      <c r="AB366" s="1"/>
      <c r="AC366" s="1"/>
      <c r="AD366" s="1"/>
      <c r="AE366" s="1"/>
      <c r="AF366" s="1"/>
      <c r="AG366" s="1"/>
      <c r="AH366" s="1"/>
      <c r="AI366" s="1"/>
      <c r="AJ366" s="1"/>
      <c r="AK366" s="1"/>
      <c r="AL366" s="1"/>
      <c r="AM366" s="1"/>
      <c r="AN366" s="1"/>
      <c r="AO366" s="1"/>
      <c r="AP366" s="1"/>
      <c r="AQ366" s="1"/>
      <c r="AR366" s="1"/>
      <c r="AS366" s="1"/>
      <c r="AT366" s="1"/>
      <c r="AU366" s="1"/>
      <c r="AV366" s="1"/>
      <c r="AW366" s="1"/>
      <c r="AX366" s="1"/>
      <c r="AY366" s="1"/>
      <c r="AZ366" s="1"/>
      <c r="BA366" s="1"/>
    </row>
    <row r="367" spans="1:53" x14ac:dyDescent="0.25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  <c r="AA367" s="1"/>
      <c r="AB367" s="1"/>
      <c r="AC367" s="1"/>
      <c r="AD367" s="1"/>
      <c r="AE367" s="1"/>
      <c r="AF367" s="1"/>
      <c r="AG367" s="1"/>
      <c r="AH367" s="1"/>
      <c r="AI367" s="1"/>
      <c r="AJ367" s="1"/>
      <c r="AK367" s="1"/>
      <c r="AL367" s="1"/>
      <c r="AM367" s="1"/>
      <c r="AN367" s="1"/>
      <c r="AO367" s="1"/>
      <c r="AP367" s="1"/>
      <c r="AQ367" s="1"/>
      <c r="AR367" s="1"/>
      <c r="AS367" s="1"/>
      <c r="AT367" s="1"/>
      <c r="AU367" s="1"/>
      <c r="AV367" s="1"/>
      <c r="AW367" s="1"/>
      <c r="AX367" s="1"/>
      <c r="AY367" s="1"/>
      <c r="AZ367" s="1"/>
      <c r="BA367" s="1"/>
    </row>
    <row r="368" spans="1:53" x14ac:dyDescent="0.25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  <c r="AA368" s="1"/>
      <c r="AB368" s="1"/>
      <c r="AC368" s="1"/>
      <c r="AD368" s="1"/>
      <c r="AE368" s="1"/>
      <c r="AF368" s="1"/>
      <c r="AG368" s="1"/>
      <c r="AH368" s="1"/>
      <c r="AI368" s="1"/>
      <c r="AJ368" s="1"/>
      <c r="AK368" s="1"/>
      <c r="AL368" s="1"/>
      <c r="AM368" s="1"/>
      <c r="AN368" s="1"/>
      <c r="AO368" s="1"/>
      <c r="AP368" s="1"/>
      <c r="AQ368" s="1"/>
      <c r="AR368" s="1"/>
      <c r="AS368" s="1"/>
      <c r="AT368" s="1"/>
      <c r="AU368" s="1"/>
      <c r="AV368" s="1"/>
      <c r="AW368" s="1"/>
      <c r="AX368" s="1"/>
      <c r="AY368" s="1"/>
      <c r="AZ368" s="1"/>
      <c r="BA368" s="1"/>
    </row>
    <row r="369" spans="1:53" x14ac:dyDescent="0.25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  <c r="AA369" s="1"/>
      <c r="AB369" s="1"/>
      <c r="AC369" s="1"/>
      <c r="AD369" s="1"/>
      <c r="AE369" s="1"/>
      <c r="AF369" s="1"/>
      <c r="AG369" s="1"/>
      <c r="AH369" s="1"/>
      <c r="AI369" s="1"/>
      <c r="AJ369" s="1"/>
      <c r="AK369" s="1"/>
      <c r="AL369" s="1"/>
      <c r="AM369" s="1"/>
      <c r="AN369" s="1"/>
      <c r="AO369" s="1"/>
      <c r="AP369" s="1"/>
      <c r="AQ369" s="1"/>
      <c r="AR369" s="1"/>
      <c r="AS369" s="1"/>
      <c r="AT369" s="1"/>
      <c r="AU369" s="1"/>
      <c r="AV369" s="1"/>
      <c r="AW369" s="1"/>
      <c r="AX369" s="1"/>
      <c r="AY369" s="1"/>
      <c r="AZ369" s="1"/>
      <c r="BA369" s="1"/>
    </row>
    <row r="370" spans="1:53" x14ac:dyDescent="0.25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  <c r="AA370" s="1"/>
      <c r="AB370" s="1"/>
      <c r="AC370" s="1"/>
      <c r="AD370" s="1"/>
      <c r="AE370" s="1"/>
      <c r="AF370" s="1"/>
      <c r="AG370" s="1"/>
      <c r="AH370" s="1"/>
      <c r="AI370" s="1"/>
      <c r="AJ370" s="1"/>
      <c r="AK370" s="1"/>
      <c r="AL370" s="1"/>
      <c r="AM370" s="1"/>
      <c r="AN370" s="1"/>
      <c r="AO370" s="1"/>
      <c r="AP370" s="1"/>
      <c r="AQ370" s="1"/>
      <c r="AR370" s="1"/>
      <c r="AS370" s="1"/>
      <c r="AT370" s="1"/>
      <c r="AU370" s="1"/>
      <c r="AV370" s="1"/>
      <c r="AW370" s="1"/>
      <c r="AX370" s="1"/>
      <c r="AY370" s="1"/>
      <c r="AZ370" s="1"/>
      <c r="BA370" s="1"/>
    </row>
    <row r="371" spans="1:53" x14ac:dyDescent="0.25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  <c r="AA371" s="1"/>
      <c r="AB371" s="1"/>
      <c r="AC371" s="1"/>
      <c r="AD371" s="1"/>
      <c r="AE371" s="1"/>
      <c r="AF371" s="1"/>
      <c r="AG371" s="1"/>
      <c r="AH371" s="1"/>
      <c r="AI371" s="1"/>
      <c r="AJ371" s="1"/>
      <c r="AK371" s="1"/>
      <c r="AL371" s="1"/>
      <c r="AM371" s="1"/>
      <c r="AN371" s="1"/>
      <c r="AO371" s="1"/>
      <c r="AP371" s="1"/>
      <c r="AQ371" s="1"/>
      <c r="AR371" s="1"/>
      <c r="AS371" s="1"/>
      <c r="AT371" s="1"/>
      <c r="AU371" s="1"/>
      <c r="AV371" s="1"/>
      <c r="AW371" s="1"/>
      <c r="AX371" s="1"/>
      <c r="AY371" s="1"/>
      <c r="AZ371" s="1"/>
      <c r="BA371" s="1"/>
    </row>
    <row r="372" spans="1:53" x14ac:dyDescent="0.25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  <c r="AA372" s="1"/>
      <c r="AB372" s="1"/>
      <c r="AC372" s="1"/>
      <c r="AD372" s="1"/>
      <c r="AE372" s="1"/>
      <c r="AF372" s="1"/>
      <c r="AG372" s="1"/>
      <c r="AH372" s="1"/>
      <c r="AI372" s="1"/>
      <c r="AJ372" s="1"/>
      <c r="AK372" s="1"/>
      <c r="AL372" s="1"/>
      <c r="AM372" s="1"/>
      <c r="AN372" s="1"/>
      <c r="AO372" s="1"/>
      <c r="AP372" s="1"/>
      <c r="AQ372" s="1"/>
      <c r="AR372" s="1"/>
      <c r="AS372" s="1"/>
      <c r="AT372" s="1"/>
      <c r="AU372" s="1"/>
      <c r="AV372" s="1"/>
      <c r="AW372" s="1"/>
      <c r="AX372" s="1"/>
      <c r="AY372" s="1"/>
      <c r="AZ372" s="1"/>
      <c r="BA372" s="1"/>
    </row>
    <row r="373" spans="1:53" x14ac:dyDescent="0.25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  <c r="AA373" s="1"/>
      <c r="AB373" s="1"/>
      <c r="AC373" s="1"/>
      <c r="AD373" s="1"/>
      <c r="AE373" s="1"/>
      <c r="AF373" s="1"/>
      <c r="AG373" s="1"/>
      <c r="AH373" s="1"/>
      <c r="AI373" s="1"/>
      <c r="AJ373" s="1"/>
      <c r="AK373" s="1"/>
      <c r="AL373" s="1"/>
      <c r="AM373" s="1"/>
      <c r="AN373" s="1"/>
      <c r="AO373" s="1"/>
      <c r="AP373" s="1"/>
      <c r="AQ373" s="1"/>
      <c r="AR373" s="1"/>
      <c r="AS373" s="1"/>
      <c r="AT373" s="1"/>
      <c r="AU373" s="1"/>
      <c r="AV373" s="1"/>
      <c r="AW373" s="1"/>
      <c r="AX373" s="1"/>
      <c r="AY373" s="1"/>
      <c r="AZ373" s="1"/>
      <c r="BA373" s="1"/>
    </row>
    <row r="374" spans="1:53" x14ac:dyDescent="0.25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  <c r="AA374" s="1"/>
      <c r="AB374" s="1"/>
      <c r="AC374" s="1"/>
      <c r="AD374" s="1"/>
      <c r="AE374" s="1"/>
      <c r="AF374" s="1"/>
      <c r="AG374" s="1"/>
      <c r="AH374" s="1"/>
      <c r="AI374" s="1"/>
      <c r="AJ374" s="1"/>
      <c r="AK374" s="1"/>
      <c r="AL374" s="1"/>
      <c r="AM374" s="1"/>
      <c r="AN374" s="1"/>
      <c r="AO374" s="1"/>
      <c r="AP374" s="1"/>
      <c r="AQ374" s="1"/>
      <c r="AR374" s="1"/>
      <c r="AS374" s="1"/>
      <c r="AT374" s="1"/>
      <c r="AU374" s="1"/>
      <c r="AV374" s="1"/>
      <c r="AW374" s="1"/>
      <c r="AX374" s="1"/>
      <c r="AY374" s="1"/>
      <c r="AZ374" s="1"/>
      <c r="BA374" s="1"/>
    </row>
    <row r="375" spans="1:53" x14ac:dyDescent="0.25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  <c r="AA375" s="1"/>
      <c r="AB375" s="1"/>
      <c r="AC375" s="1"/>
      <c r="AD375" s="1"/>
      <c r="AE375" s="1"/>
      <c r="AF375" s="1"/>
      <c r="AG375" s="1"/>
      <c r="AH375" s="1"/>
      <c r="AI375" s="1"/>
      <c r="AJ375" s="1"/>
      <c r="AK375" s="1"/>
      <c r="AL375" s="1"/>
      <c r="AM375" s="1"/>
      <c r="AN375" s="1"/>
      <c r="AO375" s="1"/>
      <c r="AP375" s="1"/>
      <c r="AQ375" s="1"/>
      <c r="AR375" s="1"/>
      <c r="AS375" s="1"/>
      <c r="AT375" s="1"/>
      <c r="AU375" s="1"/>
      <c r="AV375" s="1"/>
      <c r="AW375" s="1"/>
      <c r="AX375" s="1"/>
      <c r="AY375" s="1"/>
      <c r="AZ375" s="1"/>
      <c r="BA375" s="1"/>
    </row>
    <row r="376" spans="1:53" x14ac:dyDescent="0.25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  <c r="AA376" s="1"/>
      <c r="AB376" s="1"/>
      <c r="AC376" s="1"/>
      <c r="AD376" s="1"/>
      <c r="AE376" s="1"/>
      <c r="AF376" s="1"/>
      <c r="AG376" s="1"/>
      <c r="AH376" s="1"/>
      <c r="AI376" s="1"/>
      <c r="AJ376" s="1"/>
      <c r="AK376" s="1"/>
      <c r="AL376" s="1"/>
      <c r="AM376" s="1"/>
      <c r="AN376" s="1"/>
      <c r="AO376" s="1"/>
      <c r="AP376" s="1"/>
      <c r="AQ376" s="1"/>
      <c r="AR376" s="1"/>
      <c r="AS376" s="1"/>
      <c r="AT376" s="1"/>
      <c r="AU376" s="1"/>
      <c r="AV376" s="1"/>
      <c r="AW376" s="1"/>
      <c r="AX376" s="1"/>
      <c r="AY376" s="1"/>
      <c r="AZ376" s="1"/>
      <c r="BA376" s="1"/>
    </row>
    <row r="377" spans="1:53" x14ac:dyDescent="0.2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  <c r="AA377" s="1"/>
      <c r="AB377" s="1"/>
      <c r="AC377" s="1"/>
      <c r="AD377" s="1"/>
      <c r="AE377" s="1"/>
      <c r="AF377" s="1"/>
      <c r="AG377" s="1"/>
      <c r="AH377" s="1"/>
      <c r="AI377" s="1"/>
      <c r="AJ377" s="1"/>
      <c r="AK377" s="1"/>
      <c r="AL377" s="1"/>
      <c r="AM377" s="1"/>
      <c r="AN377" s="1"/>
      <c r="AO377" s="1"/>
      <c r="AP377" s="1"/>
      <c r="AQ377" s="1"/>
      <c r="AR377" s="1"/>
      <c r="AS377" s="1"/>
      <c r="AT377" s="1"/>
      <c r="AU377" s="1"/>
      <c r="AV377" s="1"/>
      <c r="AW377" s="1"/>
      <c r="AX377" s="1"/>
      <c r="AY377" s="1"/>
      <c r="AZ377" s="1"/>
      <c r="BA377" s="1"/>
    </row>
    <row r="378" spans="1:53" x14ac:dyDescent="0.25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  <c r="AA378" s="1"/>
      <c r="AB378" s="1"/>
      <c r="AC378" s="1"/>
      <c r="AD378" s="1"/>
      <c r="AE378" s="1"/>
      <c r="AF378" s="1"/>
      <c r="AG378" s="1"/>
      <c r="AH378" s="1"/>
      <c r="AI378" s="1"/>
      <c r="AJ378" s="1"/>
      <c r="AK378" s="1"/>
      <c r="AL378" s="1"/>
      <c r="AM378" s="1"/>
      <c r="AN378" s="1"/>
      <c r="AO378" s="1"/>
      <c r="AP378" s="1"/>
      <c r="AQ378" s="1"/>
      <c r="AR378" s="1"/>
      <c r="AS378" s="1"/>
      <c r="AT378" s="1"/>
      <c r="AU378" s="1"/>
      <c r="AV378" s="1"/>
      <c r="AW378" s="1"/>
      <c r="AX378" s="1"/>
      <c r="AY378" s="1"/>
      <c r="AZ378" s="1"/>
      <c r="BA378" s="1"/>
    </row>
    <row r="379" spans="1:53" x14ac:dyDescent="0.25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  <c r="AA379" s="1"/>
      <c r="AB379" s="1"/>
      <c r="AC379" s="1"/>
      <c r="AD379" s="1"/>
      <c r="AE379" s="1"/>
      <c r="AF379" s="1"/>
      <c r="AG379" s="1"/>
      <c r="AH379" s="1"/>
      <c r="AI379" s="1"/>
      <c r="AJ379" s="1"/>
      <c r="AK379" s="1"/>
      <c r="AL379" s="1"/>
      <c r="AM379" s="1"/>
      <c r="AN379" s="1"/>
      <c r="AO379" s="1"/>
      <c r="AP379" s="1"/>
      <c r="AQ379" s="1"/>
      <c r="AR379" s="1"/>
      <c r="AS379" s="1"/>
      <c r="AT379" s="1"/>
      <c r="AU379" s="1"/>
      <c r="AV379" s="1"/>
      <c r="AW379" s="1"/>
      <c r="AX379" s="1"/>
      <c r="AY379" s="1"/>
      <c r="AZ379" s="1"/>
      <c r="BA379" s="1"/>
    </row>
    <row r="380" spans="1:53" x14ac:dyDescent="0.25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  <c r="AA380" s="1"/>
      <c r="AB380" s="1"/>
      <c r="AC380" s="1"/>
      <c r="AD380" s="1"/>
      <c r="AE380" s="1"/>
      <c r="AF380" s="1"/>
      <c r="AG380" s="1"/>
      <c r="AH380" s="1"/>
      <c r="AI380" s="1"/>
      <c r="AJ380" s="1"/>
      <c r="AK380" s="1"/>
      <c r="AL380" s="1"/>
      <c r="AM380" s="1"/>
      <c r="AN380" s="1"/>
      <c r="AO380" s="1"/>
      <c r="AP380" s="1"/>
      <c r="AQ380" s="1"/>
      <c r="AR380" s="1"/>
      <c r="AS380" s="1"/>
      <c r="AT380" s="1"/>
      <c r="AU380" s="1"/>
      <c r="AV380" s="1"/>
      <c r="AW380" s="1"/>
      <c r="AX380" s="1"/>
      <c r="AY380" s="1"/>
      <c r="AZ380" s="1"/>
      <c r="BA380" s="1"/>
    </row>
    <row r="381" spans="1:53" x14ac:dyDescent="0.25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  <c r="AA381" s="1"/>
      <c r="AB381" s="1"/>
      <c r="AC381" s="1"/>
      <c r="AD381" s="1"/>
      <c r="AE381" s="1"/>
      <c r="AF381" s="1"/>
      <c r="AG381" s="1"/>
      <c r="AH381" s="1"/>
      <c r="AI381" s="1"/>
      <c r="AJ381" s="1"/>
      <c r="AK381" s="1"/>
      <c r="AL381" s="1"/>
      <c r="AM381" s="1"/>
      <c r="AN381" s="1"/>
      <c r="AO381" s="1"/>
      <c r="AP381" s="1"/>
      <c r="AQ381" s="1"/>
      <c r="AR381" s="1"/>
      <c r="AS381" s="1"/>
      <c r="AT381" s="1"/>
      <c r="AU381" s="1"/>
      <c r="AV381" s="1"/>
      <c r="AW381" s="1"/>
      <c r="AX381" s="1"/>
      <c r="AY381" s="1"/>
      <c r="AZ381" s="1"/>
      <c r="BA381" s="1"/>
    </row>
    <row r="382" spans="1:53" x14ac:dyDescent="0.25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  <c r="AA382" s="1"/>
      <c r="AB382" s="1"/>
      <c r="AC382" s="1"/>
      <c r="AD382" s="1"/>
      <c r="AE382" s="1"/>
      <c r="AF382" s="1"/>
      <c r="AG382" s="1"/>
      <c r="AH382" s="1"/>
      <c r="AI382" s="1"/>
      <c r="AJ382" s="1"/>
      <c r="AK382" s="1"/>
      <c r="AL382" s="1"/>
      <c r="AM382" s="1"/>
      <c r="AN382" s="1"/>
      <c r="AO382" s="1"/>
      <c r="AP382" s="1"/>
      <c r="AQ382" s="1"/>
      <c r="AR382" s="1"/>
      <c r="AS382" s="1"/>
      <c r="AT382" s="1"/>
      <c r="AU382" s="1"/>
      <c r="AV382" s="1"/>
      <c r="AW382" s="1"/>
      <c r="AX382" s="1"/>
      <c r="AY382" s="1"/>
      <c r="AZ382" s="1"/>
      <c r="BA382" s="1"/>
    </row>
    <row r="383" spans="1:53" x14ac:dyDescent="0.25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  <c r="AA383" s="1"/>
      <c r="AB383" s="1"/>
      <c r="AC383" s="1"/>
      <c r="AD383" s="1"/>
      <c r="AE383" s="1"/>
      <c r="AF383" s="1"/>
      <c r="AG383" s="1"/>
      <c r="AH383" s="1"/>
      <c r="AI383" s="1"/>
      <c r="AJ383" s="1"/>
      <c r="AK383" s="1"/>
      <c r="AL383" s="1"/>
      <c r="AM383" s="1"/>
      <c r="AN383" s="1"/>
      <c r="AO383" s="1"/>
      <c r="AP383" s="1"/>
      <c r="AQ383" s="1"/>
      <c r="AR383" s="1"/>
      <c r="AS383" s="1"/>
      <c r="AT383" s="1"/>
      <c r="AU383" s="1"/>
      <c r="AV383" s="1"/>
      <c r="AW383" s="1"/>
      <c r="AX383" s="1"/>
      <c r="AY383" s="1"/>
      <c r="AZ383" s="1"/>
      <c r="BA383" s="1"/>
    </row>
    <row r="384" spans="1:53" x14ac:dyDescent="0.25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  <c r="AA384" s="1"/>
      <c r="AB384" s="1"/>
      <c r="AC384" s="1"/>
      <c r="AD384" s="1"/>
      <c r="AE384" s="1"/>
      <c r="AF384" s="1"/>
      <c r="AG384" s="1"/>
      <c r="AH384" s="1"/>
      <c r="AI384" s="1"/>
      <c r="AJ384" s="1"/>
      <c r="AK384" s="1"/>
      <c r="AL384" s="1"/>
      <c r="AM384" s="1"/>
      <c r="AN384" s="1"/>
      <c r="AO384" s="1"/>
      <c r="AP384" s="1"/>
      <c r="AQ384" s="1"/>
      <c r="AR384" s="1"/>
      <c r="AS384" s="1"/>
      <c r="AT384" s="1"/>
      <c r="AU384" s="1"/>
      <c r="AV384" s="1"/>
      <c r="AW384" s="1"/>
      <c r="AX384" s="1"/>
      <c r="AY384" s="1"/>
      <c r="AZ384" s="1"/>
      <c r="BA384" s="1"/>
    </row>
    <row r="385" spans="1:53" x14ac:dyDescent="0.25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  <c r="AA385" s="1"/>
      <c r="AB385" s="1"/>
      <c r="AC385" s="1"/>
      <c r="AD385" s="1"/>
      <c r="AE385" s="1"/>
      <c r="AF385" s="1"/>
      <c r="AG385" s="1"/>
      <c r="AH385" s="1"/>
      <c r="AI385" s="1"/>
      <c r="AJ385" s="1"/>
      <c r="AK385" s="1"/>
      <c r="AL385" s="1"/>
      <c r="AM385" s="1"/>
      <c r="AN385" s="1"/>
      <c r="AO385" s="1"/>
      <c r="AP385" s="1"/>
      <c r="AQ385" s="1"/>
      <c r="AR385" s="1"/>
      <c r="AS385" s="1"/>
      <c r="AT385" s="1"/>
      <c r="AU385" s="1"/>
      <c r="AV385" s="1"/>
      <c r="AW385" s="1"/>
      <c r="AX385" s="1"/>
      <c r="AY385" s="1"/>
      <c r="AZ385" s="1"/>
      <c r="BA385" s="1"/>
    </row>
    <row r="386" spans="1:53" x14ac:dyDescent="0.25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  <c r="AA386" s="1"/>
      <c r="AB386" s="1"/>
      <c r="AC386" s="1"/>
      <c r="AD386" s="1"/>
      <c r="AE386" s="1"/>
      <c r="AF386" s="1"/>
      <c r="AG386" s="1"/>
      <c r="AH386" s="1"/>
      <c r="AI386" s="1"/>
      <c r="AJ386" s="1"/>
      <c r="AK386" s="1"/>
      <c r="AL386" s="1"/>
      <c r="AM386" s="1"/>
      <c r="AN386" s="1"/>
      <c r="AO386" s="1"/>
      <c r="AP386" s="1"/>
      <c r="AQ386" s="1"/>
      <c r="AR386" s="1"/>
      <c r="AS386" s="1"/>
      <c r="AT386" s="1"/>
      <c r="AU386" s="1"/>
      <c r="AV386" s="1"/>
      <c r="AW386" s="1"/>
      <c r="AX386" s="1"/>
      <c r="AY386" s="1"/>
      <c r="AZ386" s="1"/>
      <c r="BA386" s="1"/>
    </row>
    <row r="387" spans="1:53" x14ac:dyDescent="0.25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  <c r="AA387" s="1"/>
      <c r="AB387" s="1"/>
      <c r="AC387" s="1"/>
      <c r="AD387" s="1"/>
      <c r="AE387" s="1"/>
      <c r="AF387" s="1"/>
      <c r="AG387" s="1"/>
      <c r="AH387" s="1"/>
      <c r="AI387" s="1"/>
      <c r="AJ387" s="1"/>
      <c r="AK387" s="1"/>
      <c r="AL387" s="1"/>
      <c r="AM387" s="1"/>
      <c r="AN387" s="1"/>
      <c r="AO387" s="1"/>
      <c r="AP387" s="1"/>
      <c r="AQ387" s="1"/>
      <c r="AR387" s="1"/>
      <c r="AS387" s="1"/>
      <c r="AT387" s="1"/>
      <c r="AU387" s="1"/>
      <c r="AV387" s="1"/>
      <c r="AW387" s="1"/>
      <c r="AX387" s="1"/>
      <c r="AY387" s="1"/>
      <c r="AZ387" s="1"/>
      <c r="BA387" s="1"/>
    </row>
    <row r="388" spans="1:53" x14ac:dyDescent="0.25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  <c r="AA388" s="1"/>
      <c r="AB388" s="1"/>
      <c r="AC388" s="1"/>
      <c r="AD388" s="1"/>
      <c r="AE388" s="1"/>
      <c r="AF388" s="1"/>
      <c r="AG388" s="1"/>
      <c r="AH388" s="1"/>
      <c r="AI388" s="1"/>
      <c r="AJ388" s="1"/>
      <c r="AK388" s="1"/>
      <c r="AL388" s="1"/>
      <c r="AM388" s="1"/>
      <c r="AN388" s="1"/>
      <c r="AO388" s="1"/>
      <c r="AP388" s="1"/>
      <c r="AQ388" s="1"/>
      <c r="AR388" s="1"/>
      <c r="AS388" s="1"/>
      <c r="AT388" s="1"/>
      <c r="AU388" s="1"/>
      <c r="AV388" s="1"/>
      <c r="AW388" s="1"/>
      <c r="AX388" s="1"/>
      <c r="AY388" s="1"/>
      <c r="AZ388" s="1"/>
      <c r="BA388" s="1"/>
    </row>
    <row r="389" spans="1:53" x14ac:dyDescent="0.25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  <c r="AA389" s="1"/>
      <c r="AB389" s="1"/>
      <c r="AC389" s="1"/>
      <c r="AD389" s="1"/>
      <c r="AE389" s="1"/>
      <c r="AF389" s="1"/>
      <c r="AG389" s="1"/>
      <c r="AH389" s="1"/>
      <c r="AI389" s="1"/>
      <c r="AJ389" s="1"/>
      <c r="AK389" s="1"/>
      <c r="AL389" s="1"/>
      <c r="AM389" s="1"/>
      <c r="AN389" s="1"/>
      <c r="AO389" s="1"/>
      <c r="AP389" s="1"/>
      <c r="AQ389" s="1"/>
      <c r="AR389" s="1"/>
      <c r="AS389" s="1"/>
      <c r="AT389" s="1"/>
      <c r="AU389" s="1"/>
      <c r="AV389" s="1"/>
      <c r="AW389" s="1"/>
      <c r="AX389" s="1"/>
      <c r="AY389" s="1"/>
      <c r="AZ389" s="1"/>
      <c r="BA389" s="1"/>
    </row>
    <row r="390" spans="1:53" x14ac:dyDescent="0.25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  <c r="AA390" s="1"/>
      <c r="AB390" s="1"/>
      <c r="AC390" s="1"/>
      <c r="AD390" s="1"/>
      <c r="AE390" s="1"/>
      <c r="AF390" s="1"/>
      <c r="AG390" s="1"/>
      <c r="AH390" s="1"/>
      <c r="AI390" s="1"/>
      <c r="AJ390" s="1"/>
      <c r="AK390" s="1"/>
      <c r="AL390" s="1"/>
      <c r="AM390" s="1"/>
      <c r="AN390" s="1"/>
      <c r="AO390" s="1"/>
      <c r="AP390" s="1"/>
      <c r="AQ390" s="1"/>
      <c r="AR390" s="1"/>
      <c r="AS390" s="1"/>
      <c r="AT390" s="1"/>
      <c r="AU390" s="1"/>
      <c r="AV390" s="1"/>
      <c r="AW390" s="1"/>
      <c r="AX390" s="1"/>
      <c r="AY390" s="1"/>
      <c r="AZ390" s="1"/>
      <c r="BA390" s="1"/>
    </row>
    <row r="391" spans="1:53" x14ac:dyDescent="0.25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  <c r="AA391" s="1"/>
      <c r="AB391" s="1"/>
      <c r="AC391" s="1"/>
      <c r="AD391" s="1"/>
      <c r="AE391" s="1"/>
      <c r="AF391" s="1"/>
      <c r="AG391" s="1"/>
      <c r="AH391" s="1"/>
      <c r="AI391" s="1"/>
      <c r="AJ391" s="1"/>
      <c r="AK391" s="1"/>
      <c r="AL391" s="1"/>
      <c r="AM391" s="1"/>
      <c r="AN391" s="1"/>
      <c r="AO391" s="1"/>
      <c r="AP391" s="1"/>
      <c r="AQ391" s="1"/>
      <c r="AR391" s="1"/>
      <c r="AS391" s="1"/>
      <c r="AT391" s="1"/>
      <c r="AU391" s="1"/>
      <c r="AV391" s="1"/>
      <c r="AW391" s="1"/>
      <c r="AX391" s="1"/>
      <c r="AY391" s="1"/>
      <c r="AZ391" s="1"/>
      <c r="BA391" s="1"/>
    </row>
    <row r="392" spans="1:53" x14ac:dyDescent="0.25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  <c r="AA392" s="1"/>
      <c r="AB392" s="1"/>
      <c r="AC392" s="1"/>
      <c r="AD392" s="1"/>
      <c r="AE392" s="1"/>
      <c r="AF392" s="1"/>
      <c r="AG392" s="1"/>
      <c r="AH392" s="1"/>
      <c r="AI392" s="1"/>
      <c r="AJ392" s="1"/>
      <c r="AK392" s="1"/>
      <c r="AL392" s="1"/>
      <c r="AM392" s="1"/>
      <c r="AN392" s="1"/>
      <c r="AO392" s="1"/>
      <c r="AP392" s="1"/>
      <c r="AQ392" s="1"/>
      <c r="AR392" s="1"/>
      <c r="AS392" s="1"/>
      <c r="AT392" s="1"/>
      <c r="AU392" s="1"/>
      <c r="AV392" s="1"/>
      <c r="AW392" s="1"/>
      <c r="AX392" s="1"/>
      <c r="AY392" s="1"/>
      <c r="AZ392" s="1"/>
      <c r="BA392" s="1"/>
    </row>
    <row r="393" spans="1:53" x14ac:dyDescent="0.25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  <c r="AA393" s="1"/>
      <c r="AB393" s="1"/>
      <c r="AC393" s="1"/>
      <c r="AD393" s="1"/>
      <c r="AE393" s="1"/>
      <c r="AF393" s="1"/>
      <c r="AG393" s="1"/>
      <c r="AH393" s="1"/>
      <c r="AI393" s="1"/>
      <c r="AJ393" s="1"/>
      <c r="AK393" s="1"/>
      <c r="AL393" s="1"/>
      <c r="AM393" s="1"/>
      <c r="AN393" s="1"/>
      <c r="AO393" s="1"/>
      <c r="AP393" s="1"/>
      <c r="AQ393" s="1"/>
      <c r="AR393" s="1"/>
      <c r="AS393" s="1"/>
      <c r="AT393" s="1"/>
      <c r="AU393" s="1"/>
      <c r="AV393" s="1"/>
      <c r="AW393" s="1"/>
      <c r="AX393" s="1"/>
      <c r="AY393" s="1"/>
      <c r="AZ393" s="1"/>
      <c r="BA393" s="1"/>
    </row>
    <row r="394" spans="1:53" x14ac:dyDescent="0.25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  <c r="AA394" s="1"/>
      <c r="AB394" s="1"/>
      <c r="AC394" s="1"/>
      <c r="AD394" s="1"/>
      <c r="AE394" s="1"/>
      <c r="AF394" s="1"/>
      <c r="AG394" s="1"/>
      <c r="AH394" s="1"/>
      <c r="AI394" s="1"/>
      <c r="AJ394" s="1"/>
      <c r="AK394" s="1"/>
      <c r="AL394" s="1"/>
      <c r="AM394" s="1"/>
      <c r="AN394" s="1"/>
      <c r="AO394" s="1"/>
      <c r="AP394" s="1"/>
      <c r="AQ394" s="1"/>
      <c r="AR394" s="1"/>
      <c r="AS394" s="1"/>
      <c r="AT394" s="1"/>
      <c r="AU394" s="1"/>
      <c r="AV394" s="1"/>
      <c r="AW394" s="1"/>
      <c r="AX394" s="1"/>
      <c r="AY394" s="1"/>
      <c r="AZ394" s="1"/>
      <c r="BA394" s="1"/>
    </row>
    <row r="395" spans="1:53" x14ac:dyDescent="0.25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  <c r="AA395" s="1"/>
      <c r="AB395" s="1"/>
      <c r="AC395" s="1"/>
      <c r="AD395" s="1"/>
      <c r="AE395" s="1"/>
      <c r="AF395" s="1"/>
      <c r="AG395" s="1"/>
      <c r="AH395" s="1"/>
      <c r="AI395" s="1"/>
      <c r="AJ395" s="1"/>
      <c r="AK395" s="1"/>
      <c r="AL395" s="1"/>
      <c r="AM395" s="1"/>
      <c r="AN395" s="1"/>
      <c r="AO395" s="1"/>
      <c r="AP395" s="1"/>
      <c r="AQ395" s="1"/>
      <c r="AR395" s="1"/>
      <c r="AS395" s="1"/>
      <c r="AT395" s="1"/>
      <c r="AU395" s="1"/>
      <c r="AV395" s="1"/>
      <c r="AW395" s="1"/>
      <c r="AX395" s="1"/>
      <c r="AY395" s="1"/>
      <c r="AZ395" s="1"/>
      <c r="BA395" s="1"/>
    </row>
    <row r="396" spans="1:53" x14ac:dyDescent="0.25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  <c r="AA396" s="1"/>
      <c r="AB396" s="1"/>
      <c r="AC396" s="1"/>
      <c r="AD396" s="1"/>
      <c r="AE396" s="1"/>
      <c r="AF396" s="1"/>
      <c r="AG396" s="1"/>
      <c r="AH396" s="1"/>
      <c r="AI396" s="1"/>
      <c r="AJ396" s="1"/>
      <c r="AK396" s="1"/>
      <c r="AL396" s="1"/>
      <c r="AM396" s="1"/>
      <c r="AN396" s="1"/>
      <c r="AO396" s="1"/>
      <c r="AP396" s="1"/>
      <c r="AQ396" s="1"/>
      <c r="AR396" s="1"/>
      <c r="AS396" s="1"/>
      <c r="AT396" s="1"/>
      <c r="AU396" s="1"/>
      <c r="AV396" s="1"/>
      <c r="AW396" s="1"/>
      <c r="AX396" s="1"/>
      <c r="AY396" s="1"/>
      <c r="AZ396" s="1"/>
      <c r="BA396" s="1"/>
    </row>
    <row r="397" spans="1:53" x14ac:dyDescent="0.25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  <c r="AA397" s="1"/>
      <c r="AB397" s="1"/>
      <c r="AC397" s="1"/>
      <c r="AD397" s="1"/>
      <c r="AE397" s="1"/>
      <c r="AF397" s="1"/>
      <c r="AG397" s="1"/>
      <c r="AH397" s="1"/>
      <c r="AI397" s="1"/>
      <c r="AJ397" s="1"/>
      <c r="AK397" s="1"/>
      <c r="AL397" s="1"/>
      <c r="AM397" s="1"/>
      <c r="AN397" s="1"/>
      <c r="AO397" s="1"/>
      <c r="AP397" s="1"/>
      <c r="AQ397" s="1"/>
      <c r="AR397" s="1"/>
      <c r="AS397" s="1"/>
      <c r="AT397" s="1"/>
      <c r="AU397" s="1"/>
      <c r="AV397" s="1"/>
      <c r="AW397" s="1"/>
      <c r="AX397" s="1"/>
      <c r="AY397" s="1"/>
      <c r="AZ397" s="1"/>
      <c r="BA397" s="1"/>
    </row>
    <row r="398" spans="1:53" x14ac:dyDescent="0.25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  <c r="AA398" s="1"/>
      <c r="AB398" s="1"/>
      <c r="AC398" s="1"/>
      <c r="AD398" s="1"/>
      <c r="AE398" s="1"/>
      <c r="AF398" s="1"/>
      <c r="AG398" s="1"/>
      <c r="AH398" s="1"/>
      <c r="AI398" s="1"/>
      <c r="AJ398" s="1"/>
      <c r="AK398" s="1"/>
      <c r="AL398" s="1"/>
      <c r="AM398" s="1"/>
      <c r="AN398" s="1"/>
      <c r="AO398" s="1"/>
      <c r="AP398" s="1"/>
      <c r="AQ398" s="1"/>
      <c r="AR398" s="1"/>
      <c r="AS398" s="1"/>
      <c r="AT398" s="1"/>
      <c r="AU398" s="1"/>
      <c r="AV398" s="1"/>
      <c r="AW398" s="1"/>
      <c r="AX398" s="1"/>
      <c r="AY398" s="1"/>
      <c r="AZ398" s="1"/>
      <c r="BA398" s="1"/>
    </row>
    <row r="399" spans="1:53" x14ac:dyDescent="0.25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  <c r="AB399" s="1"/>
      <c r="AC399" s="1"/>
      <c r="AD399" s="1"/>
      <c r="AE399" s="1"/>
      <c r="AF399" s="1"/>
      <c r="AG399" s="1"/>
      <c r="AH399" s="1"/>
      <c r="AI399" s="1"/>
      <c r="AJ399" s="1"/>
      <c r="AK399" s="1"/>
      <c r="AL399" s="1"/>
      <c r="AM399" s="1"/>
      <c r="AN399" s="1"/>
      <c r="AO399" s="1"/>
      <c r="AP399" s="1"/>
      <c r="AQ399" s="1"/>
      <c r="AR399" s="1"/>
      <c r="AS399" s="1"/>
      <c r="AT399" s="1"/>
      <c r="AU399" s="1"/>
      <c r="AV399" s="1"/>
      <c r="AW399" s="1"/>
      <c r="AX399" s="1"/>
      <c r="AY399" s="1"/>
      <c r="AZ399" s="1"/>
      <c r="BA399" s="1"/>
    </row>
    <row r="400" spans="1:53" x14ac:dyDescent="0.25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  <c r="AB400" s="1"/>
      <c r="AC400" s="1"/>
      <c r="AD400" s="1"/>
      <c r="AE400" s="1"/>
      <c r="AF400" s="1"/>
      <c r="AG400" s="1"/>
      <c r="AH400" s="1"/>
      <c r="AI400" s="1"/>
      <c r="AJ400" s="1"/>
      <c r="AK400" s="1"/>
      <c r="AL400" s="1"/>
      <c r="AM400" s="1"/>
      <c r="AN400" s="1"/>
      <c r="AO400" s="1"/>
      <c r="AP400" s="1"/>
      <c r="AQ400" s="1"/>
      <c r="AR400" s="1"/>
      <c r="AS400" s="1"/>
      <c r="AT400" s="1"/>
      <c r="AU400" s="1"/>
      <c r="AV400" s="1"/>
      <c r="AW400" s="1"/>
      <c r="AX400" s="1"/>
      <c r="AY400" s="1"/>
      <c r="AZ400" s="1"/>
      <c r="BA400" s="1"/>
    </row>
    <row r="401" spans="1:53" x14ac:dyDescent="0.25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  <c r="AA401" s="1"/>
      <c r="AB401" s="1"/>
      <c r="AC401" s="1"/>
      <c r="AD401" s="1"/>
      <c r="AE401" s="1"/>
      <c r="AF401" s="1"/>
      <c r="AG401" s="1"/>
      <c r="AH401" s="1"/>
      <c r="AI401" s="1"/>
      <c r="AJ401" s="1"/>
      <c r="AK401" s="1"/>
      <c r="AL401" s="1"/>
      <c r="AM401" s="1"/>
      <c r="AN401" s="1"/>
      <c r="AO401" s="1"/>
      <c r="AP401" s="1"/>
      <c r="AQ401" s="1"/>
      <c r="AR401" s="1"/>
      <c r="AS401" s="1"/>
      <c r="AT401" s="1"/>
      <c r="AU401" s="1"/>
      <c r="AV401" s="1"/>
      <c r="AW401" s="1"/>
      <c r="AX401" s="1"/>
      <c r="AY401" s="1"/>
      <c r="AZ401" s="1"/>
      <c r="BA401" s="1"/>
    </row>
    <row r="402" spans="1:53" x14ac:dyDescent="0.25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  <c r="AA402" s="1"/>
      <c r="AB402" s="1"/>
      <c r="AC402" s="1"/>
      <c r="AD402" s="1"/>
      <c r="AE402" s="1"/>
      <c r="AF402" s="1"/>
      <c r="AG402" s="1"/>
      <c r="AH402" s="1"/>
      <c r="AI402" s="1"/>
      <c r="AJ402" s="1"/>
      <c r="AK402" s="1"/>
      <c r="AL402" s="1"/>
      <c r="AM402" s="1"/>
      <c r="AN402" s="1"/>
      <c r="AO402" s="1"/>
      <c r="AP402" s="1"/>
      <c r="AQ402" s="1"/>
      <c r="AR402" s="1"/>
      <c r="AS402" s="1"/>
      <c r="AT402" s="1"/>
      <c r="AU402" s="1"/>
      <c r="AV402" s="1"/>
      <c r="AW402" s="1"/>
      <c r="AX402" s="1"/>
      <c r="AY402" s="1"/>
      <c r="AZ402" s="1"/>
      <c r="BA402" s="1"/>
    </row>
    <row r="403" spans="1:53" x14ac:dyDescent="0.25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  <c r="AA403" s="1"/>
      <c r="AB403" s="1"/>
      <c r="AC403" s="1"/>
      <c r="AD403" s="1"/>
      <c r="AE403" s="1"/>
      <c r="AF403" s="1"/>
      <c r="AG403" s="1"/>
      <c r="AH403" s="1"/>
      <c r="AI403" s="1"/>
      <c r="AJ403" s="1"/>
      <c r="AK403" s="1"/>
      <c r="AL403" s="1"/>
      <c r="AM403" s="1"/>
      <c r="AN403" s="1"/>
      <c r="AO403" s="1"/>
      <c r="AP403" s="1"/>
      <c r="AQ403" s="1"/>
      <c r="AR403" s="1"/>
      <c r="AS403" s="1"/>
      <c r="AT403" s="1"/>
      <c r="AU403" s="1"/>
      <c r="AV403" s="1"/>
      <c r="AW403" s="1"/>
      <c r="AX403" s="1"/>
      <c r="AY403" s="1"/>
      <c r="AZ403" s="1"/>
      <c r="BA403" s="1"/>
    </row>
    <row r="404" spans="1:53" x14ac:dyDescent="0.25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  <c r="AA404" s="1"/>
      <c r="AB404" s="1"/>
      <c r="AC404" s="1"/>
      <c r="AD404" s="1"/>
      <c r="AE404" s="1"/>
      <c r="AF404" s="1"/>
      <c r="AG404" s="1"/>
      <c r="AH404" s="1"/>
      <c r="AI404" s="1"/>
      <c r="AJ404" s="1"/>
      <c r="AK404" s="1"/>
      <c r="AL404" s="1"/>
      <c r="AM404" s="1"/>
      <c r="AN404" s="1"/>
      <c r="AO404" s="1"/>
      <c r="AP404" s="1"/>
      <c r="AQ404" s="1"/>
      <c r="AR404" s="1"/>
      <c r="AS404" s="1"/>
      <c r="AT404" s="1"/>
      <c r="AU404" s="1"/>
      <c r="AV404" s="1"/>
      <c r="AW404" s="1"/>
      <c r="AX404" s="1"/>
      <c r="AY404" s="1"/>
      <c r="AZ404" s="1"/>
      <c r="BA404" s="1"/>
    </row>
    <row r="405" spans="1:53" x14ac:dyDescent="0.25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  <c r="AA405" s="1"/>
      <c r="AB405" s="1"/>
      <c r="AC405" s="1"/>
      <c r="AD405" s="1"/>
      <c r="AE405" s="1"/>
      <c r="AF405" s="1"/>
      <c r="AG405" s="1"/>
      <c r="AH405" s="1"/>
      <c r="AI405" s="1"/>
      <c r="AJ405" s="1"/>
      <c r="AK405" s="1"/>
      <c r="AL405" s="1"/>
      <c r="AM405" s="1"/>
      <c r="AN405" s="1"/>
      <c r="AO405" s="1"/>
      <c r="AP405" s="1"/>
      <c r="AQ405" s="1"/>
      <c r="AR405" s="1"/>
      <c r="AS405" s="1"/>
      <c r="AT405" s="1"/>
      <c r="AU405" s="1"/>
      <c r="AV405" s="1"/>
      <c r="AW405" s="1"/>
      <c r="AX405" s="1"/>
      <c r="AY405" s="1"/>
      <c r="AZ405" s="1"/>
      <c r="BA405" s="1"/>
    </row>
    <row r="406" spans="1:53" x14ac:dyDescent="0.25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  <c r="AA406" s="1"/>
      <c r="AB406" s="1"/>
      <c r="AC406" s="1"/>
      <c r="AD406" s="1"/>
      <c r="AE406" s="1"/>
      <c r="AF406" s="1"/>
      <c r="AG406" s="1"/>
      <c r="AH406" s="1"/>
      <c r="AI406" s="1"/>
      <c r="AJ406" s="1"/>
      <c r="AK406" s="1"/>
      <c r="AL406" s="1"/>
      <c r="AM406" s="1"/>
      <c r="AN406" s="1"/>
      <c r="AO406" s="1"/>
      <c r="AP406" s="1"/>
      <c r="AQ406" s="1"/>
      <c r="AR406" s="1"/>
      <c r="AS406" s="1"/>
      <c r="AT406" s="1"/>
      <c r="AU406" s="1"/>
      <c r="AV406" s="1"/>
      <c r="AW406" s="1"/>
      <c r="AX406" s="1"/>
      <c r="AY406" s="1"/>
      <c r="AZ406" s="1"/>
      <c r="BA406" s="1"/>
    </row>
    <row r="407" spans="1:53" x14ac:dyDescent="0.25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  <c r="AA407" s="1"/>
      <c r="AB407" s="1"/>
      <c r="AC407" s="1"/>
      <c r="AD407" s="1"/>
      <c r="AE407" s="1"/>
      <c r="AF407" s="1"/>
      <c r="AG407" s="1"/>
      <c r="AH407" s="1"/>
      <c r="AI407" s="1"/>
      <c r="AJ407" s="1"/>
      <c r="AK407" s="1"/>
      <c r="AL407" s="1"/>
      <c r="AM407" s="1"/>
      <c r="AN407" s="1"/>
      <c r="AO407" s="1"/>
      <c r="AP407" s="1"/>
      <c r="AQ407" s="1"/>
      <c r="AR407" s="1"/>
      <c r="AS407" s="1"/>
      <c r="AT407" s="1"/>
      <c r="AU407" s="1"/>
      <c r="AV407" s="1"/>
      <c r="AW407" s="1"/>
      <c r="AX407" s="1"/>
      <c r="AY407" s="1"/>
      <c r="AZ407" s="1"/>
      <c r="BA407" s="1"/>
    </row>
    <row r="408" spans="1:53" x14ac:dyDescent="0.25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  <c r="AA408" s="1"/>
      <c r="AB408" s="1"/>
      <c r="AC408" s="1"/>
      <c r="AD408" s="1"/>
      <c r="AE408" s="1"/>
      <c r="AF408" s="1"/>
      <c r="AG408" s="1"/>
      <c r="AH408" s="1"/>
      <c r="AI408" s="1"/>
      <c r="AJ408" s="1"/>
      <c r="AK408" s="1"/>
      <c r="AL408" s="1"/>
      <c r="AM408" s="1"/>
      <c r="AN408" s="1"/>
      <c r="AO408" s="1"/>
      <c r="AP408" s="1"/>
      <c r="AQ408" s="1"/>
      <c r="AR408" s="1"/>
      <c r="AS408" s="1"/>
      <c r="AT408" s="1"/>
      <c r="AU408" s="1"/>
      <c r="AV408" s="1"/>
      <c r="AW408" s="1"/>
      <c r="AX408" s="1"/>
      <c r="AY408" s="1"/>
      <c r="AZ408" s="1"/>
      <c r="BA408" s="1"/>
    </row>
    <row r="409" spans="1:53" x14ac:dyDescent="0.25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  <c r="AA409" s="1"/>
      <c r="AB409" s="1"/>
      <c r="AC409" s="1"/>
      <c r="AD409" s="1"/>
      <c r="AE409" s="1"/>
      <c r="AF409" s="1"/>
      <c r="AG409" s="1"/>
      <c r="AH409" s="1"/>
      <c r="AI409" s="1"/>
      <c r="AJ409" s="1"/>
      <c r="AK409" s="1"/>
      <c r="AL409" s="1"/>
      <c r="AM409" s="1"/>
      <c r="AN409" s="1"/>
      <c r="AO409" s="1"/>
      <c r="AP409" s="1"/>
      <c r="AQ409" s="1"/>
      <c r="AR409" s="1"/>
      <c r="AS409" s="1"/>
      <c r="AT409" s="1"/>
      <c r="AU409" s="1"/>
      <c r="AV409" s="1"/>
      <c r="AW409" s="1"/>
      <c r="AX409" s="1"/>
      <c r="AY409" s="1"/>
      <c r="AZ409" s="1"/>
      <c r="BA409" s="1"/>
    </row>
    <row r="410" spans="1:53" x14ac:dyDescent="0.25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  <c r="AA410" s="1"/>
      <c r="AB410" s="1"/>
      <c r="AC410" s="1"/>
      <c r="AD410" s="1"/>
      <c r="AE410" s="1"/>
      <c r="AF410" s="1"/>
      <c r="AG410" s="1"/>
      <c r="AH410" s="1"/>
      <c r="AI410" s="1"/>
      <c r="AJ410" s="1"/>
      <c r="AK410" s="1"/>
      <c r="AL410" s="1"/>
      <c r="AM410" s="1"/>
      <c r="AN410" s="1"/>
      <c r="AO410" s="1"/>
      <c r="AP410" s="1"/>
      <c r="AQ410" s="1"/>
      <c r="AR410" s="1"/>
      <c r="AS410" s="1"/>
      <c r="AT410" s="1"/>
      <c r="AU410" s="1"/>
      <c r="AV410" s="1"/>
      <c r="AW410" s="1"/>
      <c r="AX410" s="1"/>
      <c r="AY410" s="1"/>
      <c r="AZ410" s="1"/>
      <c r="BA410" s="1"/>
    </row>
    <row r="411" spans="1:53" x14ac:dyDescent="0.25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  <c r="AA411" s="1"/>
      <c r="AB411" s="1"/>
      <c r="AC411" s="1"/>
      <c r="AD411" s="1"/>
      <c r="AE411" s="1"/>
      <c r="AF411" s="1"/>
      <c r="AG411" s="1"/>
      <c r="AH411" s="1"/>
      <c r="AI411" s="1"/>
      <c r="AJ411" s="1"/>
      <c r="AK411" s="1"/>
      <c r="AL411" s="1"/>
      <c r="AM411" s="1"/>
      <c r="AN411" s="1"/>
      <c r="AO411" s="1"/>
      <c r="AP411" s="1"/>
      <c r="AQ411" s="1"/>
      <c r="AR411" s="1"/>
      <c r="AS411" s="1"/>
      <c r="AT411" s="1"/>
      <c r="AU411" s="1"/>
      <c r="AV411" s="1"/>
      <c r="AW411" s="1"/>
      <c r="AX411" s="1"/>
      <c r="AY411" s="1"/>
      <c r="AZ411" s="1"/>
      <c r="BA411" s="1"/>
    </row>
    <row r="412" spans="1:53" x14ac:dyDescent="0.2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  <c r="AB412" s="1"/>
      <c r="AC412" s="1"/>
      <c r="AD412" s="1"/>
      <c r="AE412" s="1"/>
      <c r="AF412" s="1"/>
      <c r="AG412" s="1"/>
      <c r="AH412" s="1"/>
      <c r="AI412" s="1"/>
      <c r="AJ412" s="1"/>
      <c r="AK412" s="1"/>
      <c r="AL412" s="1"/>
      <c r="AM412" s="1"/>
      <c r="AN412" s="1"/>
      <c r="AO412" s="1"/>
      <c r="AP412" s="1"/>
      <c r="AQ412" s="1"/>
      <c r="AR412" s="1"/>
      <c r="AS412" s="1"/>
      <c r="AT412" s="1"/>
      <c r="AU412" s="1"/>
      <c r="AV412" s="1"/>
      <c r="AW412" s="1"/>
      <c r="AX412" s="1"/>
      <c r="AY412" s="1"/>
      <c r="AZ412" s="1"/>
      <c r="BA412" s="1"/>
    </row>
    <row r="413" spans="1:53" x14ac:dyDescent="0.25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  <c r="AA413" s="1"/>
      <c r="AB413" s="1"/>
      <c r="AC413" s="1"/>
      <c r="AD413" s="1"/>
      <c r="AE413" s="1"/>
      <c r="AF413" s="1"/>
      <c r="AG413" s="1"/>
      <c r="AH413" s="1"/>
      <c r="AI413" s="1"/>
      <c r="AJ413" s="1"/>
      <c r="AK413" s="1"/>
      <c r="AL413" s="1"/>
      <c r="AM413" s="1"/>
      <c r="AN413" s="1"/>
      <c r="AO413" s="1"/>
      <c r="AP413" s="1"/>
      <c r="AQ413" s="1"/>
      <c r="AR413" s="1"/>
      <c r="AS413" s="1"/>
      <c r="AT413" s="1"/>
      <c r="AU413" s="1"/>
      <c r="AV413" s="1"/>
      <c r="AW413" s="1"/>
      <c r="AX413" s="1"/>
      <c r="AY413" s="1"/>
      <c r="AZ413" s="1"/>
      <c r="BA413" s="1"/>
    </row>
    <row r="414" spans="1:53" x14ac:dyDescent="0.25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  <c r="AA414" s="1"/>
      <c r="AB414" s="1"/>
      <c r="AC414" s="1"/>
      <c r="AD414" s="1"/>
      <c r="AE414" s="1"/>
      <c r="AF414" s="1"/>
      <c r="AG414" s="1"/>
      <c r="AH414" s="1"/>
      <c r="AI414" s="1"/>
      <c r="AJ414" s="1"/>
      <c r="AK414" s="1"/>
      <c r="AL414" s="1"/>
      <c r="AM414" s="1"/>
      <c r="AN414" s="1"/>
      <c r="AO414" s="1"/>
      <c r="AP414" s="1"/>
      <c r="AQ414" s="1"/>
      <c r="AR414" s="1"/>
      <c r="AS414" s="1"/>
      <c r="AT414" s="1"/>
      <c r="AU414" s="1"/>
      <c r="AV414" s="1"/>
      <c r="AW414" s="1"/>
      <c r="AX414" s="1"/>
      <c r="AY414" s="1"/>
      <c r="AZ414" s="1"/>
      <c r="BA414" s="1"/>
    </row>
    <row r="415" spans="1:53" x14ac:dyDescent="0.25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  <c r="AA415" s="1"/>
      <c r="AB415" s="1"/>
      <c r="AC415" s="1"/>
      <c r="AD415" s="1"/>
      <c r="AE415" s="1"/>
      <c r="AF415" s="1"/>
      <c r="AG415" s="1"/>
      <c r="AH415" s="1"/>
      <c r="AI415" s="1"/>
      <c r="AJ415" s="1"/>
      <c r="AK415" s="1"/>
      <c r="AL415" s="1"/>
      <c r="AM415" s="1"/>
      <c r="AN415" s="1"/>
      <c r="AO415" s="1"/>
      <c r="AP415" s="1"/>
      <c r="AQ415" s="1"/>
      <c r="AR415" s="1"/>
      <c r="AS415" s="1"/>
      <c r="AT415" s="1"/>
      <c r="AU415" s="1"/>
      <c r="AV415" s="1"/>
      <c r="AW415" s="1"/>
      <c r="AX415" s="1"/>
      <c r="AY415" s="1"/>
      <c r="AZ415" s="1"/>
      <c r="BA415" s="1"/>
    </row>
    <row r="416" spans="1:53" x14ac:dyDescent="0.25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  <c r="AA416" s="1"/>
      <c r="AB416" s="1"/>
      <c r="AC416" s="1"/>
      <c r="AD416" s="1"/>
      <c r="AE416" s="1"/>
      <c r="AF416" s="1"/>
      <c r="AG416" s="1"/>
      <c r="AH416" s="1"/>
      <c r="AI416" s="1"/>
      <c r="AJ416" s="1"/>
      <c r="AK416" s="1"/>
      <c r="AL416" s="1"/>
      <c r="AM416" s="1"/>
      <c r="AN416" s="1"/>
      <c r="AO416" s="1"/>
      <c r="AP416" s="1"/>
      <c r="AQ416" s="1"/>
      <c r="AR416" s="1"/>
      <c r="AS416" s="1"/>
      <c r="AT416" s="1"/>
      <c r="AU416" s="1"/>
      <c r="AV416" s="1"/>
      <c r="AW416" s="1"/>
      <c r="AX416" s="1"/>
      <c r="AY416" s="1"/>
      <c r="AZ416" s="1"/>
      <c r="BA416" s="1"/>
    </row>
    <row r="417" spans="1:53" x14ac:dyDescent="0.25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  <c r="AA417" s="1"/>
      <c r="AB417" s="1"/>
      <c r="AC417" s="1"/>
      <c r="AD417" s="1"/>
      <c r="AE417" s="1"/>
      <c r="AF417" s="1"/>
      <c r="AG417" s="1"/>
      <c r="AH417" s="1"/>
      <c r="AI417" s="1"/>
      <c r="AJ417" s="1"/>
      <c r="AK417" s="1"/>
      <c r="AL417" s="1"/>
      <c r="AM417" s="1"/>
      <c r="AN417" s="1"/>
      <c r="AO417" s="1"/>
      <c r="AP417" s="1"/>
      <c r="AQ417" s="1"/>
      <c r="AR417" s="1"/>
      <c r="AS417" s="1"/>
      <c r="AT417" s="1"/>
      <c r="AU417" s="1"/>
      <c r="AV417" s="1"/>
      <c r="AW417" s="1"/>
      <c r="AX417" s="1"/>
      <c r="AY417" s="1"/>
      <c r="AZ417" s="1"/>
      <c r="BA417" s="1"/>
    </row>
    <row r="418" spans="1:53" x14ac:dyDescent="0.25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  <c r="AA418" s="1"/>
      <c r="AB418" s="1"/>
      <c r="AC418" s="1"/>
      <c r="AD418" s="1"/>
      <c r="AE418" s="1"/>
      <c r="AF418" s="1"/>
      <c r="AG418" s="1"/>
      <c r="AH418" s="1"/>
      <c r="AI418" s="1"/>
      <c r="AJ418" s="1"/>
      <c r="AK418" s="1"/>
      <c r="AL418" s="1"/>
      <c r="AM418" s="1"/>
      <c r="AN418" s="1"/>
      <c r="AO418" s="1"/>
      <c r="AP418" s="1"/>
      <c r="AQ418" s="1"/>
      <c r="AR418" s="1"/>
      <c r="AS418" s="1"/>
      <c r="AT418" s="1"/>
      <c r="AU418" s="1"/>
      <c r="AV418" s="1"/>
      <c r="AW418" s="1"/>
      <c r="AX418" s="1"/>
      <c r="AY418" s="1"/>
      <c r="AZ418" s="1"/>
      <c r="BA418" s="1"/>
    </row>
    <row r="419" spans="1:53" x14ac:dyDescent="0.25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  <c r="AA419" s="1"/>
      <c r="AB419" s="1"/>
      <c r="AC419" s="1"/>
      <c r="AD419" s="1"/>
      <c r="AE419" s="1"/>
      <c r="AF419" s="1"/>
      <c r="AG419" s="1"/>
      <c r="AH419" s="1"/>
      <c r="AI419" s="1"/>
      <c r="AJ419" s="1"/>
      <c r="AK419" s="1"/>
      <c r="AL419" s="1"/>
      <c r="AM419" s="1"/>
      <c r="AN419" s="1"/>
      <c r="AO419" s="1"/>
      <c r="AP419" s="1"/>
      <c r="AQ419" s="1"/>
      <c r="AR419" s="1"/>
      <c r="AS419" s="1"/>
      <c r="AT419" s="1"/>
      <c r="AU419" s="1"/>
      <c r="AV419" s="1"/>
      <c r="AW419" s="1"/>
      <c r="AX419" s="1"/>
      <c r="AY419" s="1"/>
      <c r="AZ419" s="1"/>
      <c r="BA419" s="1"/>
    </row>
    <row r="420" spans="1:53" x14ac:dyDescent="0.25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  <c r="AA420" s="1"/>
      <c r="AB420" s="1"/>
      <c r="AC420" s="1"/>
      <c r="AD420" s="1"/>
      <c r="AE420" s="1"/>
      <c r="AF420" s="1"/>
      <c r="AG420" s="1"/>
      <c r="AH420" s="1"/>
      <c r="AI420" s="1"/>
      <c r="AJ420" s="1"/>
      <c r="AK420" s="1"/>
      <c r="AL420" s="1"/>
      <c r="AM420" s="1"/>
      <c r="AN420" s="1"/>
      <c r="AO420" s="1"/>
      <c r="AP420" s="1"/>
      <c r="AQ420" s="1"/>
      <c r="AR420" s="1"/>
      <c r="AS420" s="1"/>
      <c r="AT420" s="1"/>
      <c r="AU420" s="1"/>
      <c r="AV420" s="1"/>
      <c r="AW420" s="1"/>
      <c r="AX420" s="1"/>
      <c r="AY420" s="1"/>
      <c r="AZ420" s="1"/>
      <c r="BA420" s="1"/>
    </row>
    <row r="421" spans="1:53" x14ac:dyDescent="0.25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  <c r="AA421" s="1"/>
      <c r="AB421" s="1"/>
      <c r="AC421" s="1"/>
      <c r="AD421" s="1"/>
      <c r="AE421" s="1"/>
      <c r="AF421" s="1"/>
      <c r="AG421" s="1"/>
      <c r="AH421" s="1"/>
      <c r="AI421" s="1"/>
      <c r="AJ421" s="1"/>
      <c r="AK421" s="1"/>
      <c r="AL421" s="1"/>
      <c r="AM421" s="1"/>
      <c r="AN421" s="1"/>
      <c r="AO421" s="1"/>
      <c r="AP421" s="1"/>
      <c r="AQ421" s="1"/>
      <c r="AR421" s="1"/>
      <c r="AS421" s="1"/>
      <c r="AT421" s="1"/>
      <c r="AU421" s="1"/>
      <c r="AV421" s="1"/>
      <c r="AW421" s="1"/>
      <c r="AX421" s="1"/>
      <c r="AY421" s="1"/>
      <c r="AZ421" s="1"/>
      <c r="BA421" s="1"/>
    </row>
    <row r="422" spans="1:53" x14ac:dyDescent="0.25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  <c r="AA422" s="1"/>
      <c r="AB422" s="1"/>
      <c r="AC422" s="1"/>
      <c r="AD422" s="1"/>
      <c r="AE422" s="1"/>
      <c r="AF422" s="1"/>
      <c r="AG422" s="1"/>
      <c r="AH422" s="1"/>
      <c r="AI422" s="1"/>
      <c r="AJ422" s="1"/>
      <c r="AK422" s="1"/>
      <c r="AL422" s="1"/>
      <c r="AM422" s="1"/>
      <c r="AN422" s="1"/>
      <c r="AO422" s="1"/>
      <c r="AP422" s="1"/>
      <c r="AQ422" s="1"/>
      <c r="AR422" s="1"/>
      <c r="AS422" s="1"/>
      <c r="AT422" s="1"/>
      <c r="AU422" s="1"/>
      <c r="AV422" s="1"/>
      <c r="AW422" s="1"/>
      <c r="AX422" s="1"/>
      <c r="AY422" s="1"/>
      <c r="AZ422" s="1"/>
      <c r="BA422" s="1"/>
    </row>
    <row r="423" spans="1:53" x14ac:dyDescent="0.25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  <c r="AA423" s="1"/>
      <c r="AB423" s="1"/>
      <c r="AC423" s="1"/>
      <c r="AD423" s="1"/>
      <c r="AE423" s="1"/>
      <c r="AF423" s="1"/>
      <c r="AG423" s="1"/>
      <c r="AH423" s="1"/>
      <c r="AI423" s="1"/>
      <c r="AJ423" s="1"/>
      <c r="AK423" s="1"/>
      <c r="AL423" s="1"/>
      <c r="AM423" s="1"/>
      <c r="AN423" s="1"/>
      <c r="AO423" s="1"/>
      <c r="AP423" s="1"/>
      <c r="AQ423" s="1"/>
      <c r="AR423" s="1"/>
      <c r="AS423" s="1"/>
      <c r="AT423" s="1"/>
      <c r="AU423" s="1"/>
      <c r="AV423" s="1"/>
      <c r="AW423" s="1"/>
      <c r="AX423" s="1"/>
      <c r="AY423" s="1"/>
      <c r="AZ423" s="1"/>
      <c r="BA423" s="1"/>
    </row>
    <row r="424" spans="1:53" x14ac:dyDescent="0.25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  <c r="AA424" s="1"/>
      <c r="AB424" s="1"/>
      <c r="AC424" s="1"/>
      <c r="AD424" s="1"/>
      <c r="AE424" s="1"/>
      <c r="AF424" s="1"/>
      <c r="AG424" s="1"/>
      <c r="AH424" s="1"/>
      <c r="AI424" s="1"/>
      <c r="AJ424" s="1"/>
      <c r="AK424" s="1"/>
      <c r="AL424" s="1"/>
      <c r="AM424" s="1"/>
      <c r="AN424" s="1"/>
      <c r="AO424" s="1"/>
      <c r="AP424" s="1"/>
      <c r="AQ424" s="1"/>
      <c r="AR424" s="1"/>
      <c r="AS424" s="1"/>
      <c r="AT424" s="1"/>
      <c r="AU424" s="1"/>
      <c r="AV424" s="1"/>
      <c r="AW424" s="1"/>
      <c r="AX424" s="1"/>
      <c r="AY424" s="1"/>
      <c r="AZ424" s="1"/>
      <c r="BA424" s="1"/>
    </row>
    <row r="425" spans="1:53" x14ac:dyDescent="0.2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  <c r="AA425" s="1"/>
      <c r="AB425" s="1"/>
      <c r="AC425" s="1"/>
      <c r="AD425" s="1"/>
      <c r="AE425" s="1"/>
      <c r="AF425" s="1"/>
      <c r="AG425" s="1"/>
      <c r="AH425" s="1"/>
      <c r="AI425" s="1"/>
      <c r="AJ425" s="1"/>
      <c r="AK425" s="1"/>
      <c r="AL425" s="1"/>
      <c r="AM425" s="1"/>
      <c r="AN425" s="1"/>
      <c r="AO425" s="1"/>
      <c r="AP425" s="1"/>
      <c r="AQ425" s="1"/>
      <c r="AR425" s="1"/>
      <c r="AS425" s="1"/>
      <c r="AT425" s="1"/>
      <c r="AU425" s="1"/>
      <c r="AV425" s="1"/>
      <c r="AW425" s="1"/>
      <c r="AX425" s="1"/>
      <c r="AY425" s="1"/>
      <c r="AZ425" s="1"/>
      <c r="BA425" s="1"/>
    </row>
    <row r="426" spans="1:53" x14ac:dyDescent="0.25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  <c r="AA426" s="1"/>
      <c r="AB426" s="1"/>
      <c r="AC426" s="1"/>
      <c r="AD426" s="1"/>
      <c r="AE426" s="1"/>
      <c r="AF426" s="1"/>
      <c r="AG426" s="1"/>
      <c r="AH426" s="1"/>
      <c r="AI426" s="1"/>
      <c r="AJ426" s="1"/>
      <c r="AK426" s="1"/>
      <c r="AL426" s="1"/>
      <c r="AM426" s="1"/>
      <c r="AN426" s="1"/>
      <c r="AO426" s="1"/>
      <c r="AP426" s="1"/>
      <c r="AQ426" s="1"/>
      <c r="AR426" s="1"/>
      <c r="AS426" s="1"/>
      <c r="AT426" s="1"/>
      <c r="AU426" s="1"/>
      <c r="AV426" s="1"/>
      <c r="AW426" s="1"/>
      <c r="AX426" s="1"/>
      <c r="AY426" s="1"/>
      <c r="AZ426" s="1"/>
      <c r="BA426" s="1"/>
    </row>
    <row r="427" spans="1:53" x14ac:dyDescent="0.25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  <c r="AA427" s="1"/>
      <c r="AB427" s="1"/>
      <c r="AC427" s="1"/>
      <c r="AD427" s="1"/>
      <c r="AE427" s="1"/>
      <c r="AF427" s="1"/>
      <c r="AG427" s="1"/>
      <c r="AH427" s="1"/>
      <c r="AI427" s="1"/>
      <c r="AJ427" s="1"/>
      <c r="AK427" s="1"/>
      <c r="AL427" s="1"/>
      <c r="AM427" s="1"/>
      <c r="AN427" s="1"/>
      <c r="AO427" s="1"/>
      <c r="AP427" s="1"/>
      <c r="AQ427" s="1"/>
      <c r="AR427" s="1"/>
      <c r="AS427" s="1"/>
      <c r="AT427" s="1"/>
      <c r="AU427" s="1"/>
      <c r="AV427" s="1"/>
      <c r="AW427" s="1"/>
      <c r="AX427" s="1"/>
      <c r="AY427" s="1"/>
      <c r="AZ427" s="1"/>
      <c r="BA427" s="1"/>
    </row>
    <row r="428" spans="1:53" x14ac:dyDescent="0.25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  <c r="AA428" s="1"/>
      <c r="AB428" s="1"/>
      <c r="AC428" s="1"/>
      <c r="AD428" s="1"/>
      <c r="AE428" s="1"/>
      <c r="AF428" s="1"/>
      <c r="AG428" s="1"/>
      <c r="AH428" s="1"/>
      <c r="AI428" s="1"/>
      <c r="AJ428" s="1"/>
      <c r="AK428" s="1"/>
      <c r="AL428" s="1"/>
      <c r="AM428" s="1"/>
      <c r="AN428" s="1"/>
      <c r="AO428" s="1"/>
      <c r="AP428" s="1"/>
      <c r="AQ428" s="1"/>
      <c r="AR428" s="1"/>
      <c r="AS428" s="1"/>
      <c r="AT428" s="1"/>
      <c r="AU428" s="1"/>
      <c r="AV428" s="1"/>
      <c r="AW428" s="1"/>
      <c r="AX428" s="1"/>
      <c r="AY428" s="1"/>
      <c r="AZ428" s="1"/>
      <c r="BA428" s="1"/>
    </row>
    <row r="429" spans="1:53" x14ac:dyDescent="0.25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  <c r="AA429" s="1"/>
      <c r="AB429" s="1"/>
      <c r="AC429" s="1"/>
      <c r="AD429" s="1"/>
      <c r="AE429" s="1"/>
      <c r="AF429" s="1"/>
      <c r="AG429" s="1"/>
      <c r="AH429" s="1"/>
      <c r="AI429" s="1"/>
      <c r="AJ429" s="1"/>
      <c r="AK429" s="1"/>
      <c r="AL429" s="1"/>
      <c r="AM429" s="1"/>
      <c r="AN429" s="1"/>
      <c r="AO429" s="1"/>
      <c r="AP429" s="1"/>
      <c r="AQ429" s="1"/>
      <c r="AR429" s="1"/>
      <c r="AS429" s="1"/>
      <c r="AT429" s="1"/>
      <c r="AU429" s="1"/>
      <c r="AV429" s="1"/>
      <c r="AW429" s="1"/>
      <c r="AX429" s="1"/>
      <c r="AY429" s="1"/>
      <c r="AZ429" s="1"/>
      <c r="BA429" s="1"/>
    </row>
    <row r="430" spans="1:53" x14ac:dyDescent="0.25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  <c r="AA430" s="1"/>
      <c r="AB430" s="1"/>
      <c r="AC430" s="1"/>
      <c r="AD430" s="1"/>
      <c r="AE430" s="1"/>
      <c r="AF430" s="1"/>
      <c r="AG430" s="1"/>
      <c r="AH430" s="1"/>
      <c r="AI430" s="1"/>
      <c r="AJ430" s="1"/>
      <c r="AK430" s="1"/>
      <c r="AL430" s="1"/>
      <c r="AM430" s="1"/>
      <c r="AN430" s="1"/>
      <c r="AO430" s="1"/>
      <c r="AP430" s="1"/>
      <c r="AQ430" s="1"/>
      <c r="AR430" s="1"/>
      <c r="AS430" s="1"/>
      <c r="AT430" s="1"/>
      <c r="AU430" s="1"/>
      <c r="AV430" s="1"/>
      <c r="AW430" s="1"/>
      <c r="AX430" s="1"/>
      <c r="AY430" s="1"/>
      <c r="AZ430" s="1"/>
      <c r="BA430" s="1"/>
    </row>
    <row r="431" spans="1:53" x14ac:dyDescent="0.25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  <c r="AA431" s="1"/>
      <c r="AB431" s="1"/>
      <c r="AC431" s="1"/>
      <c r="AD431" s="1"/>
      <c r="AE431" s="1"/>
      <c r="AF431" s="1"/>
      <c r="AG431" s="1"/>
      <c r="AH431" s="1"/>
      <c r="AI431" s="1"/>
      <c r="AJ431" s="1"/>
      <c r="AK431" s="1"/>
      <c r="AL431" s="1"/>
      <c r="AM431" s="1"/>
      <c r="AN431" s="1"/>
      <c r="AO431" s="1"/>
      <c r="AP431" s="1"/>
      <c r="AQ431" s="1"/>
      <c r="AR431" s="1"/>
      <c r="AS431" s="1"/>
      <c r="AT431" s="1"/>
      <c r="AU431" s="1"/>
      <c r="AV431" s="1"/>
      <c r="AW431" s="1"/>
      <c r="AX431" s="1"/>
      <c r="AY431" s="1"/>
      <c r="AZ431" s="1"/>
      <c r="BA431" s="1"/>
    </row>
    <row r="432" spans="1:53" x14ac:dyDescent="0.25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  <c r="AA432" s="1"/>
      <c r="AB432" s="1"/>
      <c r="AC432" s="1"/>
      <c r="AD432" s="1"/>
      <c r="AE432" s="1"/>
      <c r="AF432" s="1"/>
      <c r="AG432" s="1"/>
      <c r="AH432" s="1"/>
      <c r="AI432" s="1"/>
      <c r="AJ432" s="1"/>
      <c r="AK432" s="1"/>
      <c r="AL432" s="1"/>
      <c r="AM432" s="1"/>
      <c r="AN432" s="1"/>
      <c r="AO432" s="1"/>
      <c r="AP432" s="1"/>
      <c r="AQ432" s="1"/>
      <c r="AR432" s="1"/>
      <c r="AS432" s="1"/>
      <c r="AT432" s="1"/>
      <c r="AU432" s="1"/>
      <c r="AV432" s="1"/>
      <c r="AW432" s="1"/>
      <c r="AX432" s="1"/>
      <c r="AY432" s="1"/>
      <c r="AZ432" s="1"/>
      <c r="BA432" s="1"/>
    </row>
    <row r="433" spans="1:53" x14ac:dyDescent="0.25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  <c r="AA433" s="1"/>
      <c r="AB433" s="1"/>
      <c r="AC433" s="1"/>
      <c r="AD433" s="1"/>
      <c r="AE433" s="1"/>
      <c r="AF433" s="1"/>
      <c r="AG433" s="1"/>
      <c r="AH433" s="1"/>
      <c r="AI433" s="1"/>
      <c r="AJ433" s="1"/>
      <c r="AK433" s="1"/>
      <c r="AL433" s="1"/>
      <c r="AM433" s="1"/>
      <c r="AN433" s="1"/>
      <c r="AO433" s="1"/>
      <c r="AP433" s="1"/>
      <c r="AQ433" s="1"/>
      <c r="AR433" s="1"/>
      <c r="AS433" s="1"/>
      <c r="AT433" s="1"/>
      <c r="AU433" s="1"/>
      <c r="AV433" s="1"/>
      <c r="AW433" s="1"/>
      <c r="AX433" s="1"/>
      <c r="AY433" s="1"/>
      <c r="AZ433" s="1"/>
      <c r="BA433" s="1"/>
    </row>
    <row r="434" spans="1:53" x14ac:dyDescent="0.25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  <c r="AA434" s="1"/>
      <c r="AB434" s="1"/>
      <c r="AC434" s="1"/>
      <c r="AD434" s="1"/>
      <c r="AE434" s="1"/>
      <c r="AF434" s="1"/>
      <c r="AG434" s="1"/>
      <c r="AH434" s="1"/>
      <c r="AI434" s="1"/>
      <c r="AJ434" s="1"/>
      <c r="AK434" s="1"/>
      <c r="AL434" s="1"/>
      <c r="AM434" s="1"/>
      <c r="AN434" s="1"/>
      <c r="AO434" s="1"/>
      <c r="AP434" s="1"/>
      <c r="AQ434" s="1"/>
      <c r="AR434" s="1"/>
      <c r="AS434" s="1"/>
      <c r="AT434" s="1"/>
      <c r="AU434" s="1"/>
      <c r="AV434" s="1"/>
      <c r="AW434" s="1"/>
      <c r="AX434" s="1"/>
      <c r="AY434" s="1"/>
      <c r="AZ434" s="1"/>
      <c r="BA434" s="1"/>
    </row>
    <row r="435" spans="1:53" x14ac:dyDescent="0.25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  <c r="AA435" s="1"/>
      <c r="AB435" s="1"/>
      <c r="AC435" s="1"/>
      <c r="AD435" s="1"/>
      <c r="AE435" s="1"/>
      <c r="AF435" s="1"/>
      <c r="AG435" s="1"/>
      <c r="AH435" s="1"/>
      <c r="AI435" s="1"/>
      <c r="AJ435" s="1"/>
      <c r="AK435" s="1"/>
      <c r="AL435" s="1"/>
      <c r="AM435" s="1"/>
      <c r="AN435" s="1"/>
      <c r="AO435" s="1"/>
      <c r="AP435" s="1"/>
      <c r="AQ435" s="1"/>
      <c r="AR435" s="1"/>
      <c r="AS435" s="1"/>
      <c r="AT435" s="1"/>
      <c r="AU435" s="1"/>
      <c r="AV435" s="1"/>
      <c r="AW435" s="1"/>
      <c r="AX435" s="1"/>
      <c r="AY435" s="1"/>
      <c r="AZ435" s="1"/>
      <c r="BA435" s="1"/>
    </row>
    <row r="436" spans="1:53" x14ac:dyDescent="0.25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  <c r="AA436" s="1"/>
      <c r="AB436" s="1"/>
      <c r="AC436" s="1"/>
      <c r="AD436" s="1"/>
      <c r="AE436" s="1"/>
      <c r="AF436" s="1"/>
      <c r="AG436" s="1"/>
      <c r="AH436" s="1"/>
      <c r="AI436" s="1"/>
      <c r="AJ436" s="1"/>
      <c r="AK436" s="1"/>
      <c r="AL436" s="1"/>
      <c r="AM436" s="1"/>
      <c r="AN436" s="1"/>
      <c r="AO436" s="1"/>
      <c r="AP436" s="1"/>
      <c r="AQ436" s="1"/>
      <c r="AR436" s="1"/>
      <c r="AS436" s="1"/>
      <c r="AT436" s="1"/>
      <c r="AU436" s="1"/>
      <c r="AV436" s="1"/>
      <c r="AW436" s="1"/>
      <c r="AX436" s="1"/>
      <c r="AY436" s="1"/>
      <c r="AZ436" s="1"/>
      <c r="BA436" s="1"/>
    </row>
    <row r="437" spans="1:53" x14ac:dyDescent="0.25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  <c r="AA437" s="1"/>
      <c r="AB437" s="1"/>
      <c r="AC437" s="1"/>
      <c r="AD437" s="1"/>
      <c r="AE437" s="1"/>
      <c r="AF437" s="1"/>
      <c r="AG437" s="1"/>
      <c r="AH437" s="1"/>
      <c r="AI437" s="1"/>
      <c r="AJ437" s="1"/>
      <c r="AK437" s="1"/>
      <c r="AL437" s="1"/>
      <c r="AM437" s="1"/>
      <c r="AN437" s="1"/>
      <c r="AO437" s="1"/>
      <c r="AP437" s="1"/>
      <c r="AQ437" s="1"/>
      <c r="AR437" s="1"/>
      <c r="AS437" s="1"/>
      <c r="AT437" s="1"/>
      <c r="AU437" s="1"/>
      <c r="AV437" s="1"/>
      <c r="AW437" s="1"/>
      <c r="AX437" s="1"/>
      <c r="AY437" s="1"/>
      <c r="AZ437" s="1"/>
      <c r="BA437" s="1"/>
    </row>
    <row r="438" spans="1:53" x14ac:dyDescent="0.25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  <c r="AA438" s="1"/>
      <c r="AB438" s="1"/>
      <c r="AC438" s="1"/>
      <c r="AD438" s="1"/>
      <c r="AE438" s="1"/>
      <c r="AF438" s="1"/>
      <c r="AG438" s="1"/>
      <c r="AH438" s="1"/>
      <c r="AI438" s="1"/>
      <c r="AJ438" s="1"/>
      <c r="AK438" s="1"/>
      <c r="AL438" s="1"/>
      <c r="AM438" s="1"/>
      <c r="AN438" s="1"/>
      <c r="AO438" s="1"/>
      <c r="AP438" s="1"/>
      <c r="AQ438" s="1"/>
      <c r="AR438" s="1"/>
      <c r="AS438" s="1"/>
      <c r="AT438" s="1"/>
      <c r="AU438" s="1"/>
      <c r="AV438" s="1"/>
      <c r="AW438" s="1"/>
      <c r="AX438" s="1"/>
      <c r="AY438" s="1"/>
      <c r="AZ438" s="1"/>
      <c r="BA438" s="1"/>
    </row>
    <row r="439" spans="1:53" x14ac:dyDescent="0.25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  <c r="AA439" s="1"/>
      <c r="AB439" s="1"/>
      <c r="AC439" s="1"/>
      <c r="AD439" s="1"/>
      <c r="AE439" s="1"/>
      <c r="AF439" s="1"/>
      <c r="AG439" s="1"/>
      <c r="AH439" s="1"/>
      <c r="AI439" s="1"/>
      <c r="AJ439" s="1"/>
      <c r="AK439" s="1"/>
      <c r="AL439" s="1"/>
      <c r="AM439" s="1"/>
      <c r="AN439" s="1"/>
      <c r="AO439" s="1"/>
      <c r="AP439" s="1"/>
      <c r="AQ439" s="1"/>
      <c r="AR439" s="1"/>
      <c r="AS439" s="1"/>
      <c r="AT439" s="1"/>
      <c r="AU439" s="1"/>
      <c r="AV439" s="1"/>
      <c r="AW439" s="1"/>
      <c r="AX439" s="1"/>
      <c r="AY439" s="1"/>
      <c r="AZ439" s="1"/>
      <c r="BA439" s="1"/>
    </row>
    <row r="440" spans="1:53" x14ac:dyDescent="0.25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  <c r="AA440" s="1"/>
      <c r="AB440" s="1"/>
      <c r="AC440" s="1"/>
      <c r="AD440" s="1"/>
      <c r="AE440" s="1"/>
      <c r="AF440" s="1"/>
      <c r="AG440" s="1"/>
      <c r="AH440" s="1"/>
      <c r="AI440" s="1"/>
      <c r="AJ440" s="1"/>
      <c r="AK440" s="1"/>
      <c r="AL440" s="1"/>
      <c r="AM440" s="1"/>
      <c r="AN440" s="1"/>
      <c r="AO440" s="1"/>
      <c r="AP440" s="1"/>
      <c r="AQ440" s="1"/>
      <c r="AR440" s="1"/>
      <c r="AS440" s="1"/>
      <c r="AT440" s="1"/>
      <c r="AU440" s="1"/>
      <c r="AV440" s="1"/>
      <c r="AW440" s="1"/>
      <c r="AX440" s="1"/>
      <c r="AY440" s="1"/>
      <c r="AZ440" s="1"/>
      <c r="BA440" s="1"/>
    </row>
    <row r="441" spans="1:53" x14ac:dyDescent="0.25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  <c r="AA441" s="1"/>
      <c r="AB441" s="1"/>
      <c r="AC441" s="1"/>
      <c r="AD441" s="1"/>
      <c r="AE441" s="1"/>
      <c r="AF441" s="1"/>
      <c r="AG441" s="1"/>
      <c r="AH441" s="1"/>
      <c r="AI441" s="1"/>
      <c r="AJ441" s="1"/>
      <c r="AK441" s="1"/>
      <c r="AL441" s="1"/>
      <c r="AM441" s="1"/>
      <c r="AN441" s="1"/>
      <c r="AO441" s="1"/>
      <c r="AP441" s="1"/>
      <c r="AQ441" s="1"/>
      <c r="AR441" s="1"/>
      <c r="AS441" s="1"/>
      <c r="AT441" s="1"/>
      <c r="AU441" s="1"/>
      <c r="AV441" s="1"/>
      <c r="AW441" s="1"/>
      <c r="AX441" s="1"/>
      <c r="AY441" s="1"/>
      <c r="AZ441" s="1"/>
      <c r="BA441" s="1"/>
    </row>
    <row r="442" spans="1:53" x14ac:dyDescent="0.25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  <c r="AA442" s="1"/>
      <c r="AB442" s="1"/>
      <c r="AC442" s="1"/>
      <c r="AD442" s="1"/>
      <c r="AE442" s="1"/>
      <c r="AF442" s="1"/>
      <c r="AG442" s="1"/>
      <c r="AH442" s="1"/>
      <c r="AI442" s="1"/>
      <c r="AJ442" s="1"/>
      <c r="AK442" s="1"/>
      <c r="AL442" s="1"/>
      <c r="AM442" s="1"/>
      <c r="AN442" s="1"/>
      <c r="AO442" s="1"/>
      <c r="AP442" s="1"/>
      <c r="AQ442" s="1"/>
      <c r="AR442" s="1"/>
      <c r="AS442" s="1"/>
      <c r="AT442" s="1"/>
      <c r="AU442" s="1"/>
      <c r="AV442" s="1"/>
      <c r="AW442" s="1"/>
      <c r="AX442" s="1"/>
      <c r="AY442" s="1"/>
      <c r="AZ442" s="1"/>
      <c r="BA442" s="1"/>
    </row>
    <row r="443" spans="1:53" x14ac:dyDescent="0.25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  <c r="AA443" s="1"/>
      <c r="AB443" s="1"/>
      <c r="AC443" s="1"/>
      <c r="AD443" s="1"/>
      <c r="AE443" s="1"/>
      <c r="AF443" s="1"/>
      <c r="AG443" s="1"/>
      <c r="AH443" s="1"/>
      <c r="AI443" s="1"/>
      <c r="AJ443" s="1"/>
      <c r="AK443" s="1"/>
      <c r="AL443" s="1"/>
      <c r="AM443" s="1"/>
      <c r="AN443" s="1"/>
      <c r="AO443" s="1"/>
      <c r="AP443" s="1"/>
      <c r="AQ443" s="1"/>
      <c r="AR443" s="1"/>
      <c r="AS443" s="1"/>
      <c r="AT443" s="1"/>
      <c r="AU443" s="1"/>
      <c r="AV443" s="1"/>
      <c r="AW443" s="1"/>
      <c r="AX443" s="1"/>
      <c r="AY443" s="1"/>
      <c r="AZ443" s="1"/>
      <c r="BA443" s="1"/>
    </row>
    <row r="444" spans="1:53" x14ac:dyDescent="0.25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  <c r="AA444" s="1"/>
      <c r="AB444" s="1"/>
      <c r="AC444" s="1"/>
      <c r="AD444" s="1"/>
      <c r="AE444" s="1"/>
      <c r="AF444" s="1"/>
      <c r="AG444" s="1"/>
      <c r="AH444" s="1"/>
      <c r="AI444" s="1"/>
      <c r="AJ444" s="1"/>
      <c r="AK444" s="1"/>
      <c r="AL444" s="1"/>
      <c r="AM444" s="1"/>
      <c r="AN444" s="1"/>
      <c r="AO444" s="1"/>
      <c r="AP444" s="1"/>
      <c r="AQ444" s="1"/>
      <c r="AR444" s="1"/>
      <c r="AS444" s="1"/>
      <c r="AT444" s="1"/>
      <c r="AU444" s="1"/>
      <c r="AV444" s="1"/>
      <c r="AW444" s="1"/>
      <c r="AX444" s="1"/>
      <c r="AY444" s="1"/>
      <c r="AZ444" s="1"/>
      <c r="BA444" s="1"/>
    </row>
    <row r="445" spans="1:53" x14ac:dyDescent="0.25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  <c r="AA445" s="1"/>
      <c r="AB445" s="1"/>
      <c r="AC445" s="1"/>
      <c r="AD445" s="1"/>
      <c r="AE445" s="1"/>
      <c r="AF445" s="1"/>
      <c r="AG445" s="1"/>
      <c r="AH445" s="1"/>
      <c r="AI445" s="1"/>
      <c r="AJ445" s="1"/>
      <c r="AK445" s="1"/>
      <c r="AL445" s="1"/>
      <c r="AM445" s="1"/>
      <c r="AN445" s="1"/>
      <c r="AO445" s="1"/>
      <c r="AP445" s="1"/>
      <c r="AQ445" s="1"/>
      <c r="AR445" s="1"/>
      <c r="AS445" s="1"/>
      <c r="AT445" s="1"/>
      <c r="AU445" s="1"/>
      <c r="AV445" s="1"/>
      <c r="AW445" s="1"/>
      <c r="AX445" s="1"/>
      <c r="AY445" s="1"/>
      <c r="AZ445" s="1"/>
      <c r="BA445" s="1"/>
    </row>
    <row r="446" spans="1:53" x14ac:dyDescent="0.25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  <c r="AA446" s="1"/>
      <c r="AB446" s="1"/>
      <c r="AC446" s="1"/>
      <c r="AD446" s="1"/>
      <c r="AE446" s="1"/>
      <c r="AF446" s="1"/>
      <c r="AG446" s="1"/>
      <c r="AH446" s="1"/>
      <c r="AI446" s="1"/>
      <c r="AJ446" s="1"/>
      <c r="AK446" s="1"/>
      <c r="AL446" s="1"/>
      <c r="AM446" s="1"/>
      <c r="AN446" s="1"/>
      <c r="AO446" s="1"/>
      <c r="AP446" s="1"/>
      <c r="AQ446" s="1"/>
      <c r="AR446" s="1"/>
      <c r="AS446" s="1"/>
      <c r="AT446" s="1"/>
      <c r="AU446" s="1"/>
      <c r="AV446" s="1"/>
      <c r="AW446" s="1"/>
      <c r="AX446" s="1"/>
      <c r="AY446" s="1"/>
      <c r="AZ446" s="1"/>
      <c r="BA446" s="1"/>
    </row>
    <row r="447" spans="1:53" x14ac:dyDescent="0.25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  <c r="AA447" s="1"/>
      <c r="AB447" s="1"/>
      <c r="AC447" s="1"/>
      <c r="AD447" s="1"/>
      <c r="AE447" s="1"/>
      <c r="AF447" s="1"/>
      <c r="AG447" s="1"/>
      <c r="AH447" s="1"/>
      <c r="AI447" s="1"/>
      <c r="AJ447" s="1"/>
      <c r="AK447" s="1"/>
      <c r="AL447" s="1"/>
      <c r="AM447" s="1"/>
      <c r="AN447" s="1"/>
      <c r="AO447" s="1"/>
      <c r="AP447" s="1"/>
      <c r="AQ447" s="1"/>
      <c r="AR447" s="1"/>
      <c r="AS447" s="1"/>
      <c r="AT447" s="1"/>
      <c r="AU447" s="1"/>
      <c r="AV447" s="1"/>
      <c r="AW447" s="1"/>
      <c r="AX447" s="1"/>
      <c r="AY447" s="1"/>
      <c r="AZ447" s="1"/>
      <c r="BA447" s="1"/>
    </row>
    <row r="448" spans="1:53" x14ac:dyDescent="0.25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  <c r="AA448" s="1"/>
      <c r="AB448" s="1"/>
      <c r="AC448" s="1"/>
      <c r="AD448" s="1"/>
      <c r="AE448" s="1"/>
      <c r="AF448" s="1"/>
      <c r="AG448" s="1"/>
      <c r="AH448" s="1"/>
      <c r="AI448" s="1"/>
      <c r="AJ448" s="1"/>
      <c r="AK448" s="1"/>
      <c r="AL448" s="1"/>
      <c r="AM448" s="1"/>
      <c r="AN448" s="1"/>
      <c r="AO448" s="1"/>
      <c r="AP448" s="1"/>
      <c r="AQ448" s="1"/>
      <c r="AR448" s="1"/>
      <c r="AS448" s="1"/>
      <c r="AT448" s="1"/>
      <c r="AU448" s="1"/>
      <c r="AV448" s="1"/>
      <c r="AW448" s="1"/>
      <c r="AX448" s="1"/>
      <c r="AY448" s="1"/>
      <c r="AZ448" s="1"/>
      <c r="BA448" s="1"/>
    </row>
    <row r="449" spans="1:53" x14ac:dyDescent="0.25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  <c r="AA449" s="1"/>
      <c r="AB449" s="1"/>
      <c r="AC449" s="1"/>
      <c r="AD449" s="1"/>
      <c r="AE449" s="1"/>
      <c r="AF449" s="1"/>
      <c r="AG449" s="1"/>
      <c r="AH449" s="1"/>
      <c r="AI449" s="1"/>
      <c r="AJ449" s="1"/>
      <c r="AK449" s="1"/>
      <c r="AL449" s="1"/>
      <c r="AM449" s="1"/>
      <c r="AN449" s="1"/>
      <c r="AO449" s="1"/>
      <c r="AP449" s="1"/>
      <c r="AQ449" s="1"/>
      <c r="AR449" s="1"/>
      <c r="AS449" s="1"/>
      <c r="AT449" s="1"/>
      <c r="AU449" s="1"/>
      <c r="AV449" s="1"/>
      <c r="AW449" s="1"/>
      <c r="AX449" s="1"/>
      <c r="AY449" s="1"/>
      <c r="AZ449" s="1"/>
      <c r="BA449" s="1"/>
    </row>
    <row r="450" spans="1:53" x14ac:dyDescent="0.25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  <c r="AA450" s="1"/>
      <c r="AB450" s="1"/>
      <c r="AC450" s="1"/>
      <c r="AD450" s="1"/>
      <c r="AE450" s="1"/>
      <c r="AF450" s="1"/>
      <c r="AG450" s="1"/>
      <c r="AH450" s="1"/>
      <c r="AI450" s="1"/>
      <c r="AJ450" s="1"/>
      <c r="AK450" s="1"/>
      <c r="AL450" s="1"/>
      <c r="AM450" s="1"/>
      <c r="AN450" s="1"/>
      <c r="AO450" s="1"/>
      <c r="AP450" s="1"/>
      <c r="AQ450" s="1"/>
      <c r="AR450" s="1"/>
      <c r="AS450" s="1"/>
      <c r="AT450" s="1"/>
      <c r="AU450" s="1"/>
      <c r="AV450" s="1"/>
      <c r="AW450" s="1"/>
      <c r="AX450" s="1"/>
      <c r="AY450" s="1"/>
      <c r="AZ450" s="1"/>
      <c r="BA450" s="1"/>
    </row>
    <row r="451" spans="1:53" x14ac:dyDescent="0.25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  <c r="AA451" s="1"/>
      <c r="AB451" s="1"/>
      <c r="AC451" s="1"/>
      <c r="AD451" s="1"/>
      <c r="AE451" s="1"/>
      <c r="AF451" s="1"/>
      <c r="AG451" s="1"/>
      <c r="AH451" s="1"/>
      <c r="AI451" s="1"/>
      <c r="AJ451" s="1"/>
      <c r="AK451" s="1"/>
      <c r="AL451" s="1"/>
      <c r="AM451" s="1"/>
      <c r="AN451" s="1"/>
      <c r="AO451" s="1"/>
      <c r="AP451" s="1"/>
      <c r="AQ451" s="1"/>
      <c r="AR451" s="1"/>
      <c r="AS451" s="1"/>
      <c r="AT451" s="1"/>
      <c r="AU451" s="1"/>
      <c r="AV451" s="1"/>
      <c r="AW451" s="1"/>
      <c r="AX451" s="1"/>
      <c r="AY451" s="1"/>
      <c r="AZ451" s="1"/>
      <c r="BA451" s="1"/>
    </row>
    <row r="452" spans="1:53" x14ac:dyDescent="0.25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  <c r="AA452" s="1"/>
      <c r="AB452" s="1"/>
      <c r="AC452" s="1"/>
      <c r="AD452" s="1"/>
      <c r="AE452" s="1"/>
      <c r="AF452" s="1"/>
      <c r="AG452" s="1"/>
      <c r="AH452" s="1"/>
      <c r="AI452" s="1"/>
      <c r="AJ452" s="1"/>
      <c r="AK452" s="1"/>
      <c r="AL452" s="1"/>
      <c r="AM452" s="1"/>
      <c r="AN452" s="1"/>
      <c r="AO452" s="1"/>
      <c r="AP452" s="1"/>
      <c r="AQ452" s="1"/>
      <c r="AR452" s="1"/>
      <c r="AS452" s="1"/>
      <c r="AT452" s="1"/>
      <c r="AU452" s="1"/>
      <c r="AV452" s="1"/>
      <c r="AW452" s="1"/>
      <c r="AX452" s="1"/>
      <c r="AY452" s="1"/>
      <c r="AZ452" s="1"/>
      <c r="BA452" s="1"/>
    </row>
    <row r="453" spans="1:53" x14ac:dyDescent="0.25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  <c r="AA453" s="1"/>
      <c r="AB453" s="1"/>
      <c r="AC453" s="1"/>
      <c r="AD453" s="1"/>
      <c r="AE453" s="1"/>
      <c r="AF453" s="1"/>
      <c r="AG453" s="1"/>
      <c r="AH453" s="1"/>
      <c r="AI453" s="1"/>
      <c r="AJ453" s="1"/>
      <c r="AK453" s="1"/>
      <c r="AL453" s="1"/>
      <c r="AM453" s="1"/>
      <c r="AN453" s="1"/>
      <c r="AO453" s="1"/>
      <c r="AP453" s="1"/>
      <c r="AQ453" s="1"/>
      <c r="AR453" s="1"/>
      <c r="AS453" s="1"/>
      <c r="AT453" s="1"/>
      <c r="AU453" s="1"/>
      <c r="AV453" s="1"/>
      <c r="AW453" s="1"/>
      <c r="AX453" s="1"/>
      <c r="AY453" s="1"/>
      <c r="AZ453" s="1"/>
      <c r="BA453" s="1"/>
    </row>
    <row r="454" spans="1:53" x14ac:dyDescent="0.25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  <c r="AA454" s="1"/>
      <c r="AB454" s="1"/>
      <c r="AC454" s="1"/>
      <c r="AD454" s="1"/>
      <c r="AE454" s="1"/>
      <c r="AF454" s="1"/>
      <c r="AG454" s="1"/>
      <c r="AH454" s="1"/>
      <c r="AI454" s="1"/>
      <c r="AJ454" s="1"/>
      <c r="AK454" s="1"/>
      <c r="AL454" s="1"/>
      <c r="AM454" s="1"/>
      <c r="AN454" s="1"/>
      <c r="AO454" s="1"/>
      <c r="AP454" s="1"/>
      <c r="AQ454" s="1"/>
      <c r="AR454" s="1"/>
      <c r="AS454" s="1"/>
      <c r="AT454" s="1"/>
      <c r="AU454" s="1"/>
      <c r="AV454" s="1"/>
      <c r="AW454" s="1"/>
      <c r="AX454" s="1"/>
      <c r="AY454" s="1"/>
      <c r="AZ454" s="1"/>
      <c r="BA454" s="1"/>
    </row>
    <row r="455" spans="1:53" x14ac:dyDescent="0.25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  <c r="AA455" s="1"/>
      <c r="AB455" s="1"/>
      <c r="AC455" s="1"/>
      <c r="AD455" s="1"/>
      <c r="AE455" s="1"/>
      <c r="AF455" s="1"/>
      <c r="AG455" s="1"/>
      <c r="AH455" s="1"/>
      <c r="AI455" s="1"/>
      <c r="AJ455" s="1"/>
      <c r="AK455" s="1"/>
      <c r="AL455" s="1"/>
      <c r="AM455" s="1"/>
      <c r="AN455" s="1"/>
      <c r="AO455" s="1"/>
      <c r="AP455" s="1"/>
      <c r="AQ455" s="1"/>
      <c r="AR455" s="1"/>
      <c r="AS455" s="1"/>
      <c r="AT455" s="1"/>
      <c r="AU455" s="1"/>
      <c r="AV455" s="1"/>
      <c r="AW455" s="1"/>
      <c r="AX455" s="1"/>
      <c r="AY455" s="1"/>
      <c r="AZ455" s="1"/>
      <c r="BA455" s="1"/>
    </row>
    <row r="456" spans="1:53" x14ac:dyDescent="0.25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  <c r="AA456" s="1"/>
      <c r="AB456" s="1"/>
      <c r="AC456" s="1"/>
      <c r="AD456" s="1"/>
      <c r="AE456" s="1"/>
      <c r="AF456" s="1"/>
      <c r="AG456" s="1"/>
      <c r="AH456" s="1"/>
      <c r="AI456" s="1"/>
      <c r="AJ456" s="1"/>
      <c r="AK456" s="1"/>
      <c r="AL456" s="1"/>
      <c r="AM456" s="1"/>
      <c r="AN456" s="1"/>
      <c r="AO456" s="1"/>
      <c r="AP456" s="1"/>
      <c r="AQ456" s="1"/>
      <c r="AR456" s="1"/>
      <c r="AS456" s="1"/>
      <c r="AT456" s="1"/>
      <c r="AU456" s="1"/>
      <c r="AV456" s="1"/>
      <c r="AW456" s="1"/>
      <c r="AX456" s="1"/>
      <c r="AY456" s="1"/>
      <c r="AZ456" s="1"/>
      <c r="BA456" s="1"/>
    </row>
    <row r="457" spans="1:53" x14ac:dyDescent="0.25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  <c r="AA457" s="1"/>
      <c r="AB457" s="1"/>
      <c r="AC457" s="1"/>
      <c r="AD457" s="1"/>
      <c r="AE457" s="1"/>
      <c r="AF457" s="1"/>
      <c r="AG457" s="1"/>
      <c r="AH457" s="1"/>
      <c r="AI457" s="1"/>
      <c r="AJ457" s="1"/>
      <c r="AK457" s="1"/>
      <c r="AL457" s="1"/>
      <c r="AM457" s="1"/>
      <c r="AN457" s="1"/>
      <c r="AO457" s="1"/>
      <c r="AP457" s="1"/>
      <c r="AQ457" s="1"/>
      <c r="AR457" s="1"/>
      <c r="AS457" s="1"/>
      <c r="AT457" s="1"/>
      <c r="AU457" s="1"/>
      <c r="AV457" s="1"/>
      <c r="AW457" s="1"/>
      <c r="AX457" s="1"/>
      <c r="AY457" s="1"/>
      <c r="AZ457" s="1"/>
      <c r="BA457" s="1"/>
    </row>
    <row r="458" spans="1:53" x14ac:dyDescent="0.25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  <c r="AA458" s="1"/>
      <c r="AB458" s="1"/>
      <c r="AC458" s="1"/>
      <c r="AD458" s="1"/>
      <c r="AE458" s="1"/>
      <c r="AF458" s="1"/>
      <c r="AG458" s="1"/>
      <c r="AH458" s="1"/>
      <c r="AI458" s="1"/>
      <c r="AJ458" s="1"/>
      <c r="AK458" s="1"/>
      <c r="AL458" s="1"/>
      <c r="AM458" s="1"/>
      <c r="AN458" s="1"/>
      <c r="AO458" s="1"/>
      <c r="AP458" s="1"/>
      <c r="AQ458" s="1"/>
      <c r="AR458" s="1"/>
      <c r="AS458" s="1"/>
      <c r="AT458" s="1"/>
      <c r="AU458" s="1"/>
      <c r="AV458" s="1"/>
      <c r="AW458" s="1"/>
      <c r="AX458" s="1"/>
      <c r="AY458" s="1"/>
      <c r="AZ458" s="1"/>
      <c r="BA458" s="1"/>
    </row>
    <row r="459" spans="1:53" x14ac:dyDescent="0.25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A459" s="1"/>
      <c r="AB459" s="1"/>
      <c r="AC459" s="1"/>
      <c r="AD459" s="1"/>
      <c r="AE459" s="1"/>
      <c r="AF459" s="1"/>
      <c r="AG459" s="1"/>
      <c r="AH459" s="1"/>
      <c r="AI459" s="1"/>
      <c r="AJ459" s="1"/>
      <c r="AK459" s="1"/>
      <c r="AL459" s="1"/>
      <c r="AM459" s="1"/>
      <c r="AN459" s="1"/>
      <c r="AO459" s="1"/>
      <c r="AP459" s="1"/>
      <c r="AQ459" s="1"/>
      <c r="AR459" s="1"/>
      <c r="AS459" s="1"/>
      <c r="AT459" s="1"/>
      <c r="AU459" s="1"/>
      <c r="AV459" s="1"/>
      <c r="AW459" s="1"/>
      <c r="AX459" s="1"/>
      <c r="AY459" s="1"/>
      <c r="AZ459" s="1"/>
      <c r="BA459" s="1"/>
    </row>
    <row r="460" spans="1:53" x14ac:dyDescent="0.2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  <c r="AB460" s="1"/>
      <c r="AC460" s="1"/>
      <c r="AD460" s="1"/>
      <c r="AE460" s="1"/>
      <c r="AF460" s="1"/>
      <c r="AG460" s="1"/>
      <c r="AH460" s="1"/>
      <c r="AI460" s="1"/>
      <c r="AJ460" s="1"/>
      <c r="AK460" s="1"/>
      <c r="AL460" s="1"/>
      <c r="AM460" s="1"/>
      <c r="AN460" s="1"/>
      <c r="AO460" s="1"/>
      <c r="AP460" s="1"/>
      <c r="AQ460" s="1"/>
      <c r="AR460" s="1"/>
      <c r="AS460" s="1"/>
      <c r="AT460" s="1"/>
      <c r="AU460" s="1"/>
      <c r="AV460" s="1"/>
      <c r="AW460" s="1"/>
      <c r="AX460" s="1"/>
      <c r="AY460" s="1"/>
      <c r="AZ460" s="1"/>
      <c r="BA460" s="1"/>
    </row>
    <row r="461" spans="1:53" x14ac:dyDescent="0.2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  <c r="AB461" s="1"/>
      <c r="AC461" s="1"/>
      <c r="AD461" s="1"/>
      <c r="AE461" s="1"/>
      <c r="AF461" s="1"/>
      <c r="AG461" s="1"/>
      <c r="AH461" s="1"/>
      <c r="AI461" s="1"/>
      <c r="AJ461" s="1"/>
      <c r="AK461" s="1"/>
      <c r="AL461" s="1"/>
      <c r="AM461" s="1"/>
      <c r="AN461" s="1"/>
      <c r="AO461" s="1"/>
      <c r="AP461" s="1"/>
      <c r="AQ461" s="1"/>
      <c r="AR461" s="1"/>
      <c r="AS461" s="1"/>
      <c r="AT461" s="1"/>
      <c r="AU461" s="1"/>
      <c r="AV461" s="1"/>
      <c r="AW461" s="1"/>
      <c r="AX461" s="1"/>
      <c r="AY461" s="1"/>
      <c r="AZ461" s="1"/>
      <c r="BA461" s="1"/>
    </row>
    <row r="462" spans="1:53" x14ac:dyDescent="0.2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  <c r="AB462" s="1"/>
      <c r="AC462" s="1"/>
      <c r="AD462" s="1"/>
      <c r="AE462" s="1"/>
      <c r="AF462" s="1"/>
      <c r="AG462" s="1"/>
      <c r="AH462" s="1"/>
      <c r="AI462" s="1"/>
      <c r="AJ462" s="1"/>
      <c r="AK462" s="1"/>
      <c r="AL462" s="1"/>
      <c r="AM462" s="1"/>
      <c r="AN462" s="1"/>
      <c r="AO462" s="1"/>
      <c r="AP462" s="1"/>
      <c r="AQ462" s="1"/>
      <c r="AR462" s="1"/>
      <c r="AS462" s="1"/>
      <c r="AT462" s="1"/>
      <c r="AU462" s="1"/>
      <c r="AV462" s="1"/>
      <c r="AW462" s="1"/>
      <c r="AX462" s="1"/>
      <c r="AY462" s="1"/>
      <c r="AZ462" s="1"/>
      <c r="BA462" s="1"/>
    </row>
    <row r="463" spans="1:53" x14ac:dyDescent="0.2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  <c r="AB463" s="1"/>
      <c r="AC463" s="1"/>
      <c r="AD463" s="1"/>
      <c r="AE463" s="1"/>
      <c r="AF463" s="1"/>
      <c r="AG463" s="1"/>
      <c r="AH463" s="1"/>
      <c r="AI463" s="1"/>
      <c r="AJ463" s="1"/>
      <c r="AK463" s="1"/>
      <c r="AL463" s="1"/>
      <c r="AM463" s="1"/>
      <c r="AN463" s="1"/>
      <c r="AO463" s="1"/>
      <c r="AP463" s="1"/>
      <c r="AQ463" s="1"/>
      <c r="AR463" s="1"/>
      <c r="AS463" s="1"/>
      <c r="AT463" s="1"/>
      <c r="AU463" s="1"/>
      <c r="AV463" s="1"/>
      <c r="AW463" s="1"/>
      <c r="AX463" s="1"/>
      <c r="AY463" s="1"/>
      <c r="AZ463" s="1"/>
      <c r="BA463" s="1"/>
    </row>
    <row r="464" spans="1:53" x14ac:dyDescent="0.2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  <c r="AB464" s="1"/>
      <c r="AC464" s="1"/>
      <c r="AD464" s="1"/>
      <c r="AE464" s="1"/>
      <c r="AF464" s="1"/>
      <c r="AG464" s="1"/>
      <c r="AH464" s="1"/>
      <c r="AI464" s="1"/>
      <c r="AJ464" s="1"/>
      <c r="AK464" s="1"/>
      <c r="AL464" s="1"/>
      <c r="AM464" s="1"/>
      <c r="AN464" s="1"/>
      <c r="AO464" s="1"/>
      <c r="AP464" s="1"/>
      <c r="AQ464" s="1"/>
      <c r="AR464" s="1"/>
      <c r="AS464" s="1"/>
      <c r="AT464" s="1"/>
      <c r="AU464" s="1"/>
      <c r="AV464" s="1"/>
      <c r="AW464" s="1"/>
      <c r="AX464" s="1"/>
      <c r="AY464" s="1"/>
      <c r="AZ464" s="1"/>
      <c r="BA464" s="1"/>
    </row>
    <row r="465" spans="1:53" x14ac:dyDescent="0.2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  <c r="AB465" s="1"/>
      <c r="AC465" s="1"/>
      <c r="AD465" s="1"/>
      <c r="AE465" s="1"/>
      <c r="AF465" s="1"/>
      <c r="AG465" s="1"/>
      <c r="AH465" s="1"/>
      <c r="AI465" s="1"/>
      <c r="AJ465" s="1"/>
      <c r="AK465" s="1"/>
      <c r="AL465" s="1"/>
      <c r="AM465" s="1"/>
      <c r="AN465" s="1"/>
      <c r="AO465" s="1"/>
      <c r="AP465" s="1"/>
      <c r="AQ465" s="1"/>
      <c r="AR465" s="1"/>
      <c r="AS465" s="1"/>
      <c r="AT465" s="1"/>
      <c r="AU465" s="1"/>
      <c r="AV465" s="1"/>
      <c r="AW465" s="1"/>
      <c r="AX465" s="1"/>
      <c r="AY465" s="1"/>
      <c r="AZ465" s="1"/>
      <c r="BA465" s="1"/>
    </row>
    <row r="466" spans="1:53" x14ac:dyDescent="0.2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  <c r="AB466" s="1"/>
      <c r="AC466" s="1"/>
      <c r="AD466" s="1"/>
      <c r="AE466" s="1"/>
      <c r="AF466" s="1"/>
      <c r="AG466" s="1"/>
      <c r="AH466" s="1"/>
      <c r="AI466" s="1"/>
      <c r="AJ466" s="1"/>
      <c r="AK466" s="1"/>
      <c r="AL466" s="1"/>
      <c r="AM466" s="1"/>
      <c r="AN466" s="1"/>
      <c r="AO466" s="1"/>
      <c r="AP466" s="1"/>
      <c r="AQ466" s="1"/>
      <c r="AR466" s="1"/>
      <c r="AS466" s="1"/>
      <c r="AT466" s="1"/>
      <c r="AU466" s="1"/>
      <c r="AV466" s="1"/>
      <c r="AW466" s="1"/>
      <c r="AX466" s="1"/>
      <c r="AY466" s="1"/>
      <c r="AZ466" s="1"/>
      <c r="BA466" s="1"/>
    </row>
    <row r="467" spans="1:53" x14ac:dyDescent="0.2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  <c r="AB467" s="1"/>
      <c r="AC467" s="1"/>
      <c r="AD467" s="1"/>
      <c r="AE467" s="1"/>
      <c r="AF467" s="1"/>
      <c r="AG467" s="1"/>
      <c r="AH467" s="1"/>
      <c r="AI467" s="1"/>
      <c r="AJ467" s="1"/>
      <c r="AK467" s="1"/>
      <c r="AL467" s="1"/>
      <c r="AM467" s="1"/>
      <c r="AN467" s="1"/>
      <c r="AO467" s="1"/>
      <c r="AP467" s="1"/>
      <c r="AQ467" s="1"/>
      <c r="AR467" s="1"/>
      <c r="AS467" s="1"/>
      <c r="AT467" s="1"/>
      <c r="AU467" s="1"/>
      <c r="AV467" s="1"/>
      <c r="AW467" s="1"/>
      <c r="AX467" s="1"/>
      <c r="AY467" s="1"/>
      <c r="AZ467" s="1"/>
      <c r="BA467" s="1"/>
    </row>
    <row r="468" spans="1:53" x14ac:dyDescent="0.2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  <c r="AB468" s="1"/>
      <c r="AC468" s="1"/>
      <c r="AD468" s="1"/>
      <c r="AE468" s="1"/>
      <c r="AF468" s="1"/>
      <c r="AG468" s="1"/>
      <c r="AH468" s="1"/>
      <c r="AI468" s="1"/>
      <c r="AJ468" s="1"/>
      <c r="AK468" s="1"/>
      <c r="AL468" s="1"/>
      <c r="AM468" s="1"/>
      <c r="AN468" s="1"/>
      <c r="AO468" s="1"/>
      <c r="AP468" s="1"/>
      <c r="AQ468" s="1"/>
      <c r="AR468" s="1"/>
      <c r="AS468" s="1"/>
      <c r="AT468" s="1"/>
      <c r="AU468" s="1"/>
      <c r="AV468" s="1"/>
      <c r="AW468" s="1"/>
      <c r="AX468" s="1"/>
      <c r="AY468" s="1"/>
      <c r="AZ468" s="1"/>
      <c r="BA468" s="1"/>
    </row>
    <row r="469" spans="1:53" x14ac:dyDescent="0.2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  <c r="AB469" s="1"/>
      <c r="AC469" s="1"/>
      <c r="AD469" s="1"/>
      <c r="AE469" s="1"/>
      <c r="AF469" s="1"/>
      <c r="AG469" s="1"/>
      <c r="AH469" s="1"/>
      <c r="AI469" s="1"/>
      <c r="AJ469" s="1"/>
      <c r="AK469" s="1"/>
      <c r="AL469" s="1"/>
      <c r="AM469" s="1"/>
      <c r="AN469" s="1"/>
      <c r="AO469" s="1"/>
      <c r="AP469" s="1"/>
      <c r="AQ469" s="1"/>
      <c r="AR469" s="1"/>
      <c r="AS469" s="1"/>
      <c r="AT469" s="1"/>
      <c r="AU469" s="1"/>
      <c r="AV469" s="1"/>
      <c r="AW469" s="1"/>
      <c r="AX469" s="1"/>
      <c r="AY469" s="1"/>
      <c r="AZ469" s="1"/>
      <c r="BA469" s="1"/>
    </row>
    <row r="470" spans="1:53" x14ac:dyDescent="0.2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  <c r="AB470" s="1"/>
      <c r="AC470" s="1"/>
      <c r="AD470" s="1"/>
      <c r="AE470" s="1"/>
      <c r="AF470" s="1"/>
      <c r="AG470" s="1"/>
      <c r="AH470" s="1"/>
      <c r="AI470" s="1"/>
      <c r="AJ470" s="1"/>
      <c r="AK470" s="1"/>
      <c r="AL470" s="1"/>
      <c r="AM470" s="1"/>
      <c r="AN470" s="1"/>
      <c r="AO470" s="1"/>
      <c r="AP470" s="1"/>
      <c r="AQ470" s="1"/>
      <c r="AR470" s="1"/>
      <c r="AS470" s="1"/>
      <c r="AT470" s="1"/>
      <c r="AU470" s="1"/>
      <c r="AV470" s="1"/>
      <c r="AW470" s="1"/>
      <c r="AX470" s="1"/>
      <c r="AY470" s="1"/>
      <c r="AZ470" s="1"/>
      <c r="BA470" s="1"/>
    </row>
    <row r="471" spans="1:53" x14ac:dyDescent="0.2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  <c r="AB471" s="1"/>
      <c r="AC471" s="1"/>
      <c r="AD471" s="1"/>
      <c r="AE471" s="1"/>
      <c r="AF471" s="1"/>
      <c r="AG471" s="1"/>
      <c r="AH471" s="1"/>
      <c r="AI471" s="1"/>
      <c r="AJ471" s="1"/>
      <c r="AK471" s="1"/>
      <c r="AL471" s="1"/>
      <c r="AM471" s="1"/>
      <c r="AN471" s="1"/>
      <c r="AO471" s="1"/>
      <c r="AP471" s="1"/>
      <c r="AQ471" s="1"/>
      <c r="AR471" s="1"/>
      <c r="AS471" s="1"/>
      <c r="AT471" s="1"/>
      <c r="AU471" s="1"/>
      <c r="AV471" s="1"/>
      <c r="AW471" s="1"/>
      <c r="AX471" s="1"/>
      <c r="AY471" s="1"/>
      <c r="AZ471" s="1"/>
      <c r="BA471" s="1"/>
    </row>
    <row r="472" spans="1:53" x14ac:dyDescent="0.25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  <c r="AA472" s="1"/>
      <c r="AB472" s="1"/>
      <c r="AC472" s="1"/>
      <c r="AD472" s="1"/>
      <c r="AE472" s="1"/>
      <c r="AF472" s="1"/>
      <c r="AG472" s="1"/>
      <c r="AH472" s="1"/>
      <c r="AI472" s="1"/>
      <c r="AJ472" s="1"/>
      <c r="AK472" s="1"/>
      <c r="AL472" s="1"/>
      <c r="AM472" s="1"/>
      <c r="AN472" s="1"/>
      <c r="AO472" s="1"/>
      <c r="AP472" s="1"/>
      <c r="AQ472" s="1"/>
      <c r="AR472" s="1"/>
      <c r="AS472" s="1"/>
      <c r="AT472" s="1"/>
      <c r="AU472" s="1"/>
      <c r="AV472" s="1"/>
      <c r="AW472" s="1"/>
      <c r="AX472" s="1"/>
      <c r="AY472" s="1"/>
      <c r="AZ472" s="1"/>
      <c r="BA472" s="1"/>
    </row>
  </sheetData>
  <mergeCells count="3">
    <mergeCell ref="B2:F2"/>
    <mergeCell ref="B4:G4"/>
    <mergeCell ref="H12:J12"/>
  </mergeCells>
  <conditionalFormatting sqref="H9:W9">
    <cfRule type="expression" dxfId="17" priority="37">
      <formula>H7&lt;=$D$12</formula>
    </cfRule>
    <cfRule type="expression" dxfId="16" priority="38">
      <formula>H7&gt;$D$12</formula>
    </cfRule>
  </conditionalFormatting>
  <conditionalFormatting sqref="H13:W13">
    <cfRule type="expression" dxfId="15" priority="39">
      <formula>H7&gt;$D$12</formula>
    </cfRule>
    <cfRule type="expression" dxfId="14" priority="40">
      <formula>H7&gt;$D$12</formula>
    </cfRule>
  </conditionalFormatting>
  <conditionalFormatting sqref="H54 X54 AB54 AR54">
    <cfRule type="expression" dxfId="13" priority="42">
      <formula>AND(#REF!=$D$18+$D$9, I$17=$D$17+$D$9)</formula>
    </cfRule>
  </conditionalFormatting>
  <conditionalFormatting sqref="H17:X33 AB17:AR33 H38:X40 AB38:AR40 H41:H53 J41:X53 AB41:AB53 AD41:AR53 I41:I54 AC41:AC54 J54:W54 AD54:AQ54">
    <cfRule type="expression" dxfId="12" priority="46">
      <formula>AND($H18=$D$18+$D$9, I$17=$D$17+$D$9)</formula>
    </cfRule>
  </conditionalFormatting>
  <dataValidations count="2">
    <dataValidation type="list" allowBlank="1" showInputMessage="1" showErrorMessage="1" sqref="G35" xr:uid="{E23E43A5-0E8B-420C-9D14-E7DFE651DB37}">
      <formula1>"1,2,4,Cont"</formula1>
    </dataValidation>
    <dataValidation type="list" allowBlank="1" showInputMessage="1" showErrorMessage="1" sqref="D8" xr:uid="{66CA0F39-6A66-45D6-B961-DE7C77036FEF}">
      <formula1>"1,2,4,Continuous"</formula1>
    </dataValidation>
  </dataValidations>
  <hyperlinks>
    <hyperlink ref="H12" location="'Rate and discount'!B27" display="'Rate and discount'!B27" xr:uid="{D7933409-45B0-41F6-B886-353E97B7758E}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75B920-E18A-4B32-A159-3BE26425198B}">
  <sheetPr codeName="Sheet9"/>
  <dimension ref="A1:BA111"/>
  <sheetViews>
    <sheetView workbookViewId="0">
      <selection activeCell="AC19" sqref="AC19"/>
    </sheetView>
  </sheetViews>
  <sheetFormatPr defaultRowHeight="15" x14ac:dyDescent="0.25"/>
  <sheetData>
    <row r="1" spans="1:53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</row>
    <row r="2" spans="1:53" ht="20.25" thickBot="1" x14ac:dyDescent="0.35">
      <c r="A2" s="1"/>
      <c r="B2" s="153" t="s">
        <v>174</v>
      </c>
      <c r="C2" s="153"/>
      <c r="D2" s="153"/>
      <c r="E2" s="153"/>
      <c r="F2" s="153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</row>
    <row r="3" spans="1:53" ht="15.75" thickTop="1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</row>
    <row r="4" spans="1:53" ht="18" thickBot="1" x14ac:dyDescent="0.35">
      <c r="A4" s="1"/>
      <c r="B4" s="147" t="s">
        <v>175</v>
      </c>
      <c r="C4" s="147"/>
      <c r="D4" s="147"/>
      <c r="E4" s="147"/>
      <c r="F4" s="147"/>
      <c r="G4" s="147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</row>
    <row r="5" spans="1:53" ht="15.75" thickTop="1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</row>
    <row r="6" spans="1:53" ht="15.75" thickBot="1" x14ac:dyDescent="0.3">
      <c r="A6" s="1"/>
      <c r="B6" s="1" t="s">
        <v>3</v>
      </c>
      <c r="C6" s="1"/>
      <c r="D6" s="1"/>
      <c r="E6" s="1"/>
      <c r="F6" s="1" t="s">
        <v>15</v>
      </c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</row>
    <row r="7" spans="1:53" x14ac:dyDescent="0.25">
      <c r="A7" s="1"/>
      <c r="B7" s="8" t="s">
        <v>19</v>
      </c>
      <c r="C7" s="9" t="s">
        <v>5</v>
      </c>
      <c r="D7" s="21">
        <v>5000000</v>
      </c>
      <c r="E7" s="1"/>
      <c r="F7" s="8" t="s">
        <v>21</v>
      </c>
      <c r="G7" s="9">
        <v>0</v>
      </c>
      <c r="H7" s="9">
        <v>1</v>
      </c>
      <c r="I7" s="9">
        <v>2</v>
      </c>
      <c r="J7" s="9">
        <v>3</v>
      </c>
      <c r="K7" s="9">
        <v>4</v>
      </c>
      <c r="L7" s="9">
        <v>5</v>
      </c>
      <c r="M7" s="9">
        <v>6</v>
      </c>
      <c r="N7" s="9">
        <v>7</v>
      </c>
      <c r="O7" s="9">
        <v>8</v>
      </c>
      <c r="P7" s="9">
        <v>9</v>
      </c>
      <c r="Q7" s="9">
        <v>10</v>
      </c>
      <c r="R7" s="9">
        <v>11</v>
      </c>
      <c r="S7" s="9">
        <v>12</v>
      </c>
      <c r="T7" s="9">
        <v>13</v>
      </c>
      <c r="U7" s="9">
        <v>14</v>
      </c>
      <c r="V7" s="9">
        <v>15</v>
      </c>
      <c r="W7" s="10">
        <v>16</v>
      </c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</row>
    <row r="8" spans="1:53" x14ac:dyDescent="0.25">
      <c r="A8" s="1"/>
      <c r="B8" s="11" t="s">
        <v>8</v>
      </c>
      <c r="C8" s="1" t="s">
        <v>9</v>
      </c>
      <c r="D8" s="23">
        <v>2</v>
      </c>
      <c r="E8" s="1"/>
      <c r="F8" s="11" t="s">
        <v>22</v>
      </c>
      <c r="G8" s="1"/>
      <c r="H8" s="1" cm="1">
        <f t="array" ref="H8">IF(TYPE($D$9)=1, $D$9*H7, Cont)</f>
        <v>0.5</v>
      </c>
      <c r="I8" s="1" cm="1">
        <f t="array" ref="I8">IF(TYPE($D$9)=1, $D$9*I7, Cont)</f>
        <v>1</v>
      </c>
      <c r="J8" s="1" cm="1">
        <f t="array" ref="J8">IF(TYPE($D$9)=1, $D$9*J7, Cont)</f>
        <v>1.5</v>
      </c>
      <c r="K8" s="1" cm="1">
        <f t="array" ref="K8">IF(TYPE($D$9)=1, $D$9*K7, Cont)</f>
        <v>2</v>
      </c>
      <c r="L8" s="1" cm="1">
        <f t="array" ref="L8">IF(TYPE($D$9)=1, $D$9*L7, Cont)</f>
        <v>2.5</v>
      </c>
      <c r="M8" s="1" cm="1">
        <f t="array" ref="M8">IF(TYPE($D$9)=1, $D$9*M7, Cont)</f>
        <v>3</v>
      </c>
      <c r="N8" s="1" cm="1">
        <f t="array" ref="N8">IF(TYPE($D$9)=1, $D$9*N7, Cont)</f>
        <v>3.5</v>
      </c>
      <c r="O8" s="1" cm="1">
        <f t="array" ref="O8">IF(TYPE($D$9)=1, $D$9*O7, Cont)</f>
        <v>4</v>
      </c>
      <c r="P8" s="1" cm="1">
        <f t="array" ref="P8">IF(TYPE($D$9)=1, $D$9*P7, Cont)</f>
        <v>4.5</v>
      </c>
      <c r="Q8" s="1" cm="1">
        <f t="array" ref="Q8">IF(TYPE($D$9)=1, $D$9*Q7, Cont)</f>
        <v>5</v>
      </c>
      <c r="R8" s="1" cm="1">
        <f t="array" ref="R8">IF(TYPE($D$9)=1, $D$9*R7, Cont)</f>
        <v>5.5</v>
      </c>
      <c r="S8" s="1" cm="1">
        <f t="array" ref="S8">IF(TYPE($D$9)=1, $D$9*S7, Cont)</f>
        <v>6</v>
      </c>
      <c r="T8" s="1" cm="1">
        <f t="array" ref="T8">IF(TYPE($D$9)=1, $D$9*T7, Cont)</f>
        <v>6.5</v>
      </c>
      <c r="U8" s="1" cm="1">
        <f t="array" ref="U8">IF(TYPE($D$9)=1, $D$9*U7, Cont)</f>
        <v>7</v>
      </c>
      <c r="V8" s="1" cm="1">
        <f t="array" ref="V8">IF(TYPE($D$9)=1, $D$9*V7, Cont)</f>
        <v>7.5</v>
      </c>
      <c r="W8" s="12" cm="1">
        <f t="array" ref="W8">IF(TYPE($D$9)=1, $D$9*W7, Cont)</f>
        <v>8</v>
      </c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</row>
    <row r="9" spans="1:53" ht="15.75" thickBot="1" x14ac:dyDescent="0.3">
      <c r="A9" s="1"/>
      <c r="B9" s="11" t="s">
        <v>20</v>
      </c>
      <c r="C9" s="15" t="s">
        <v>11</v>
      </c>
      <c r="D9" s="54">
        <f>1/D8</f>
        <v>0.5</v>
      </c>
      <c r="E9" s="1"/>
      <c r="F9" s="13" t="s">
        <v>91</v>
      </c>
      <c r="G9" s="72">
        <v>1</v>
      </c>
      <c r="H9" s="70">
        <v>0.97870000000000001</v>
      </c>
      <c r="I9" s="70">
        <v>0.95709999999999995</v>
      </c>
      <c r="J9" s="70">
        <v>0.93610000000000004</v>
      </c>
      <c r="K9" s="70">
        <v>0</v>
      </c>
      <c r="L9" s="70"/>
      <c r="M9" s="70"/>
      <c r="N9" s="70"/>
      <c r="O9" s="70"/>
      <c r="P9" s="70"/>
      <c r="Q9" s="70"/>
      <c r="R9" s="70"/>
      <c r="S9" s="70"/>
      <c r="T9" s="70"/>
      <c r="U9" s="70"/>
      <c r="V9" s="70"/>
      <c r="W9" s="7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</row>
    <row r="10" spans="1:53" x14ac:dyDescent="0.25">
      <c r="A10" s="1"/>
      <c r="B10" s="11" t="s">
        <v>156</v>
      </c>
      <c r="C10" s="1"/>
      <c r="D10" s="129">
        <v>0.12</v>
      </c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</row>
    <row r="11" spans="1:53" x14ac:dyDescent="0.25">
      <c r="A11" s="1"/>
      <c r="B11" s="11" t="s">
        <v>157</v>
      </c>
      <c r="C11" s="1" t="s">
        <v>161</v>
      </c>
      <c r="D11" s="129">
        <v>2.8572761453836453E-2</v>
      </c>
      <c r="E11" s="1"/>
      <c r="F11" s="1" t="s">
        <v>99</v>
      </c>
      <c r="G11" s="1"/>
      <c r="H11" s="18">
        <v>27</v>
      </c>
      <c r="I11" s="1" t="s">
        <v>14</v>
      </c>
      <c r="J11" s="27" t="s">
        <v>158</v>
      </c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</row>
    <row r="12" spans="1:53" ht="15.75" thickBot="1" x14ac:dyDescent="0.3">
      <c r="A12" s="1"/>
      <c r="B12" s="11" t="s">
        <v>61</v>
      </c>
      <c r="C12" s="1"/>
      <c r="D12" s="24">
        <v>4</v>
      </c>
      <c r="E12" s="1"/>
      <c r="F12" s="1" t="s">
        <v>104</v>
      </c>
      <c r="G12" s="1"/>
      <c r="H12" s="154" t="s">
        <v>100</v>
      </c>
      <c r="I12" s="154"/>
      <c r="J12" s="154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</row>
    <row r="13" spans="1:53" ht="15.75" thickBot="1" x14ac:dyDescent="0.3">
      <c r="A13" s="1"/>
      <c r="B13" s="13" t="s">
        <v>185</v>
      </c>
      <c r="C13" s="14"/>
      <c r="D13" s="25">
        <v>3</v>
      </c>
      <c r="E13" s="1"/>
      <c r="F13" s="43" t="s">
        <v>64</v>
      </c>
      <c r="G13" s="121">
        <v>1</v>
      </c>
      <c r="H13" s="121">
        <f>IF(H9&gt;0, ($H$11/360/$D$9)*G9+(($D$9-($H$11/360))/$D$9)*H9, 0)</f>
        <v>0.98189499999999996</v>
      </c>
      <c r="I13" s="121">
        <f t="shared" ref="I13:W13" si="0">IF(I9&gt;0, ($H$11/360/$D$9)*H9+(($D$9-($H$11/360))/$D$9)*I9, 0)</f>
        <v>0.96033999999999986</v>
      </c>
      <c r="J13" s="121">
        <f t="shared" si="0"/>
        <v>0.93924999999999992</v>
      </c>
      <c r="K13" s="121">
        <f t="shared" si="0"/>
        <v>0</v>
      </c>
      <c r="L13" s="120">
        <f t="shared" si="0"/>
        <v>0</v>
      </c>
      <c r="M13" s="120">
        <f t="shared" si="0"/>
        <v>0</v>
      </c>
      <c r="N13" s="120">
        <f t="shared" si="0"/>
        <v>0</v>
      </c>
      <c r="O13" s="120">
        <f t="shared" si="0"/>
        <v>0</v>
      </c>
      <c r="P13" s="120">
        <f t="shared" si="0"/>
        <v>0</v>
      </c>
      <c r="Q13" s="120">
        <f t="shared" si="0"/>
        <v>0</v>
      </c>
      <c r="R13" s="120">
        <f t="shared" si="0"/>
        <v>0</v>
      </c>
      <c r="S13" s="120">
        <f t="shared" si="0"/>
        <v>0</v>
      </c>
      <c r="T13" s="120">
        <f t="shared" si="0"/>
        <v>0</v>
      </c>
      <c r="U13" s="120">
        <f t="shared" si="0"/>
        <v>0</v>
      </c>
      <c r="V13" s="120">
        <f t="shared" si="0"/>
        <v>0</v>
      </c>
      <c r="W13" s="120">
        <f t="shared" si="0"/>
        <v>0</v>
      </c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</row>
    <row r="14" spans="1:53" x14ac:dyDescent="0.25">
      <c r="A14" s="1"/>
      <c r="B14" s="1"/>
      <c r="C14" s="1"/>
      <c r="D14" s="1"/>
      <c r="E14" s="1"/>
      <c r="F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</row>
    <row r="15" spans="1:53" ht="15.75" thickBot="1" x14ac:dyDescent="0.3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</row>
    <row r="16" spans="1:53" x14ac:dyDescent="0.25">
      <c r="A16" s="1"/>
      <c r="B16" s="8" t="s">
        <v>103</v>
      </c>
      <c r="C16" s="9"/>
      <c r="D16" s="138" t="s">
        <v>191</v>
      </c>
      <c r="E16" s="1"/>
      <c r="F16" s="89" t="s">
        <v>92</v>
      </c>
      <c r="G16" s="9" t="s">
        <v>93</v>
      </c>
      <c r="H16" s="78">
        <v>1</v>
      </c>
      <c r="I16" s="78" cm="1">
        <f t="array" ref="I16:X16">H9:W9</f>
        <v>0.97870000000000001</v>
      </c>
      <c r="J16" s="78">
        <v>0.95709999999999995</v>
      </c>
      <c r="K16" s="78">
        <v>0.93610000000000004</v>
      </c>
      <c r="L16" s="78">
        <v>0</v>
      </c>
      <c r="M16" s="78">
        <v>0</v>
      </c>
      <c r="N16" s="78">
        <v>0</v>
      </c>
      <c r="O16" s="78">
        <v>0</v>
      </c>
      <c r="P16" s="78">
        <v>0</v>
      </c>
      <c r="Q16" s="78">
        <v>0</v>
      </c>
      <c r="R16" s="78">
        <v>0</v>
      </c>
      <c r="S16" s="78">
        <v>0</v>
      </c>
      <c r="T16" s="78">
        <v>0</v>
      </c>
      <c r="U16" s="78">
        <v>0</v>
      </c>
      <c r="V16" s="78">
        <v>0</v>
      </c>
      <c r="W16" s="78">
        <v>0</v>
      </c>
      <c r="X16" s="79">
        <v>0</v>
      </c>
      <c r="Y16" s="1"/>
      <c r="Z16" s="89" t="s">
        <v>101</v>
      </c>
      <c r="AA16" s="9" t="s">
        <v>93</v>
      </c>
      <c r="AB16" s="78">
        <v>1</v>
      </c>
      <c r="AC16" s="78">
        <f>H13</f>
        <v>0.98189499999999996</v>
      </c>
      <c r="AD16" s="78">
        <f t="shared" ref="AD16:AR16" si="1">I13</f>
        <v>0.96033999999999986</v>
      </c>
      <c r="AE16" s="78">
        <f t="shared" si="1"/>
        <v>0.93924999999999992</v>
      </c>
      <c r="AF16" s="78">
        <f t="shared" si="1"/>
        <v>0</v>
      </c>
      <c r="AG16" s="78">
        <f t="shared" si="1"/>
        <v>0</v>
      </c>
      <c r="AH16" s="78">
        <f t="shared" si="1"/>
        <v>0</v>
      </c>
      <c r="AI16" s="78">
        <f t="shared" si="1"/>
        <v>0</v>
      </c>
      <c r="AJ16" s="78">
        <f t="shared" si="1"/>
        <v>0</v>
      </c>
      <c r="AK16" s="78">
        <f t="shared" si="1"/>
        <v>0</v>
      </c>
      <c r="AL16" s="78">
        <f t="shared" si="1"/>
        <v>0</v>
      </c>
      <c r="AM16" s="78">
        <f t="shared" si="1"/>
        <v>0</v>
      </c>
      <c r="AN16" s="78">
        <f t="shared" si="1"/>
        <v>0</v>
      </c>
      <c r="AO16" s="78">
        <f t="shared" si="1"/>
        <v>0</v>
      </c>
      <c r="AP16" s="78">
        <f t="shared" si="1"/>
        <v>0</v>
      </c>
      <c r="AQ16" s="78">
        <f t="shared" si="1"/>
        <v>0</v>
      </c>
      <c r="AR16" s="79">
        <f t="shared" si="1"/>
        <v>0</v>
      </c>
      <c r="AS16" s="1"/>
      <c r="AT16" s="1"/>
      <c r="AU16" s="1"/>
      <c r="AV16" s="1"/>
      <c r="AW16" s="1"/>
      <c r="AX16" s="1"/>
      <c r="AY16" s="1"/>
      <c r="AZ16" s="1"/>
      <c r="BA16" s="1"/>
    </row>
    <row r="17" spans="1:53" x14ac:dyDescent="0.25">
      <c r="A17" s="1"/>
      <c r="B17" s="11" t="s">
        <v>186</v>
      </c>
      <c r="C17" s="1"/>
      <c r="D17" s="24">
        <v>1</v>
      </c>
      <c r="E17" s="1"/>
      <c r="F17" s="5" t="s">
        <v>94</v>
      </c>
      <c r="G17" s="77">
        <v>1</v>
      </c>
      <c r="H17" s="53">
        <f t="shared" ref="H17:X17" si="2">G8</f>
        <v>0</v>
      </c>
      <c r="I17" s="53">
        <f t="shared" si="2"/>
        <v>0.5</v>
      </c>
      <c r="J17" s="53">
        <f t="shared" si="2"/>
        <v>1</v>
      </c>
      <c r="K17" s="53">
        <f t="shared" si="2"/>
        <v>1.5</v>
      </c>
      <c r="L17" s="53">
        <f t="shared" si="2"/>
        <v>2</v>
      </c>
      <c r="M17" s="53">
        <f t="shared" si="2"/>
        <v>2.5</v>
      </c>
      <c r="N17" s="53">
        <f t="shared" si="2"/>
        <v>3</v>
      </c>
      <c r="O17" s="53">
        <f t="shared" si="2"/>
        <v>3.5</v>
      </c>
      <c r="P17" s="53">
        <f t="shared" si="2"/>
        <v>4</v>
      </c>
      <c r="Q17" s="53">
        <f t="shared" si="2"/>
        <v>4.5</v>
      </c>
      <c r="R17" s="53">
        <f t="shared" si="2"/>
        <v>5</v>
      </c>
      <c r="S17" s="53">
        <f t="shared" si="2"/>
        <v>5.5</v>
      </c>
      <c r="T17" s="53">
        <f t="shared" si="2"/>
        <v>6</v>
      </c>
      <c r="U17" s="53">
        <f t="shared" si="2"/>
        <v>6.5</v>
      </c>
      <c r="V17" s="53">
        <f t="shared" si="2"/>
        <v>7</v>
      </c>
      <c r="W17" s="53">
        <f t="shared" si="2"/>
        <v>7.5</v>
      </c>
      <c r="X17" s="54">
        <f t="shared" si="2"/>
        <v>8</v>
      </c>
      <c r="Y17" s="1"/>
      <c r="Z17" s="5" t="s">
        <v>94</v>
      </c>
      <c r="AA17" s="77">
        <v>1</v>
      </c>
      <c r="AB17" s="53">
        <f>AA8</f>
        <v>0</v>
      </c>
      <c r="AC17" s="53">
        <f>H8</f>
        <v>0.5</v>
      </c>
      <c r="AD17" s="53">
        <f t="shared" ref="AD17:AR17" si="3">I8</f>
        <v>1</v>
      </c>
      <c r="AE17" s="53">
        <f t="shared" si="3"/>
        <v>1.5</v>
      </c>
      <c r="AF17" s="53">
        <f t="shared" si="3"/>
        <v>2</v>
      </c>
      <c r="AG17" s="53">
        <f t="shared" si="3"/>
        <v>2.5</v>
      </c>
      <c r="AH17" s="53">
        <f t="shared" si="3"/>
        <v>3</v>
      </c>
      <c r="AI17" s="53">
        <f t="shared" si="3"/>
        <v>3.5</v>
      </c>
      <c r="AJ17" s="53">
        <f t="shared" si="3"/>
        <v>4</v>
      </c>
      <c r="AK17" s="53">
        <f t="shared" si="3"/>
        <v>4.5</v>
      </c>
      <c r="AL17" s="53">
        <f t="shared" si="3"/>
        <v>5</v>
      </c>
      <c r="AM17" s="53">
        <f t="shared" si="3"/>
        <v>5.5</v>
      </c>
      <c r="AN17" s="53">
        <f t="shared" si="3"/>
        <v>6</v>
      </c>
      <c r="AO17" s="53">
        <f t="shared" si="3"/>
        <v>6.5</v>
      </c>
      <c r="AP17" s="53">
        <f t="shared" si="3"/>
        <v>7</v>
      </c>
      <c r="AQ17" s="53">
        <f t="shared" si="3"/>
        <v>7.5</v>
      </c>
      <c r="AR17" s="54">
        <f t="shared" si="3"/>
        <v>8</v>
      </c>
      <c r="AS17" s="1"/>
      <c r="AT17" s="1"/>
      <c r="AU17" s="1"/>
      <c r="AV17" s="1"/>
      <c r="AW17" s="1"/>
      <c r="AX17" s="1"/>
      <c r="AY17" s="1"/>
      <c r="AZ17" s="1"/>
      <c r="BA17" s="1"/>
    </row>
    <row r="18" spans="1:53" ht="15.75" thickBot="1" x14ac:dyDescent="0.3">
      <c r="A18" s="1"/>
      <c r="B18" s="13" t="s">
        <v>187</v>
      </c>
      <c r="C18" s="14"/>
      <c r="D18" s="132">
        <f>D17+D9*(D13-1)</f>
        <v>2</v>
      </c>
      <c r="E18" s="1"/>
      <c r="F18" s="11"/>
      <c r="G18" s="77">
        <f t="array" ref="G18:G33">TRANSPOSE(H9:W9)</f>
        <v>0.97870000000000001</v>
      </c>
      <c r="H18" s="53">
        <f t="array" ref="H18:H33">TRANSPOSE($I$17:$X$17)</f>
        <v>0.5</v>
      </c>
      <c r="I18" s="83"/>
      <c r="J18" s="87"/>
      <c r="K18" s="87"/>
      <c r="L18" s="87"/>
      <c r="M18" s="87"/>
      <c r="N18" s="87"/>
      <c r="O18" s="87"/>
      <c r="P18" s="87"/>
      <c r="Q18" s="87"/>
      <c r="R18" s="87"/>
      <c r="S18" s="87"/>
      <c r="T18" s="87"/>
      <c r="U18" s="87"/>
      <c r="V18" s="87"/>
      <c r="W18" s="87"/>
      <c r="X18" s="88"/>
      <c r="Y18" s="1"/>
      <c r="Z18" s="11"/>
      <c r="AA18" s="77">
        <f t="array" ref="AA18:AA33">TRANSPOSE(H13:W13)</f>
        <v>0.98189499999999996</v>
      </c>
      <c r="AB18" s="53">
        <f t="array" ref="AB18:AB33">TRANSPOSE($I$17:$X$17)</f>
        <v>0.5</v>
      </c>
      <c r="AC18" s="83"/>
      <c r="AD18" s="87"/>
      <c r="AE18" s="87"/>
      <c r="AF18" s="87"/>
      <c r="AG18" s="87"/>
      <c r="AH18" s="87"/>
      <c r="AI18" s="87"/>
      <c r="AJ18" s="87"/>
      <c r="AK18" s="87"/>
      <c r="AL18" s="87"/>
      <c r="AM18" s="87"/>
      <c r="AN18" s="87"/>
      <c r="AO18" s="87"/>
      <c r="AP18" s="87"/>
      <c r="AQ18" s="87"/>
      <c r="AR18" s="88"/>
      <c r="AS18" s="1"/>
      <c r="AT18" s="1"/>
      <c r="AU18" s="1"/>
      <c r="AV18" s="1"/>
      <c r="AW18" s="1"/>
      <c r="AX18" s="1"/>
      <c r="AY18" s="1"/>
      <c r="AZ18" s="1"/>
      <c r="BA18" s="1"/>
    </row>
    <row r="19" spans="1:53" x14ac:dyDescent="0.25">
      <c r="A19" s="1"/>
      <c r="B19" s="1"/>
      <c r="C19" s="1"/>
      <c r="D19" s="1"/>
      <c r="E19" s="1"/>
      <c r="F19" s="5"/>
      <c r="G19" s="77">
        <v>0.95709999999999995</v>
      </c>
      <c r="H19" s="53">
        <v>1</v>
      </c>
      <c r="I19" s="81">
        <f>IF(G19&gt;0, G19/$I$16, 0)</f>
        <v>0.97792990701951565</v>
      </c>
      <c r="J19" s="84"/>
      <c r="K19" s="84"/>
      <c r="L19" s="84"/>
      <c r="M19" s="84"/>
      <c r="N19" s="84"/>
      <c r="O19" s="84"/>
      <c r="P19" s="84"/>
      <c r="Q19" s="84"/>
      <c r="R19" s="84"/>
      <c r="S19" s="84"/>
      <c r="T19" s="84"/>
      <c r="U19" s="84"/>
      <c r="V19" s="84"/>
      <c r="W19" s="84"/>
      <c r="X19" s="85"/>
      <c r="Y19" s="1"/>
      <c r="Z19" s="5"/>
      <c r="AA19" s="77">
        <v>0.96033999999999986</v>
      </c>
      <c r="AB19" s="53">
        <v>1</v>
      </c>
      <c r="AC19" s="81">
        <f>IF($AA19&gt;0, $AA19/AC$16, 0)</f>
        <v>0.97804755090921114</v>
      </c>
      <c r="AD19" s="84"/>
      <c r="AE19" s="84"/>
      <c r="AF19" s="84"/>
      <c r="AG19" s="84"/>
      <c r="AH19" s="84"/>
      <c r="AI19" s="84"/>
      <c r="AJ19" s="84"/>
      <c r="AK19" s="84"/>
      <c r="AL19" s="84"/>
      <c r="AM19" s="84"/>
      <c r="AN19" s="84"/>
      <c r="AO19" s="84"/>
      <c r="AP19" s="84"/>
      <c r="AQ19" s="84"/>
      <c r="AR19" s="85"/>
      <c r="AS19" s="1"/>
      <c r="AT19" s="1"/>
      <c r="AU19" s="1"/>
      <c r="AV19" s="1"/>
      <c r="AW19" s="1"/>
      <c r="AX19" s="1"/>
      <c r="AY19" s="1"/>
      <c r="AZ19" s="1"/>
      <c r="BA19" s="1"/>
    </row>
    <row r="20" spans="1:53" x14ac:dyDescent="0.25">
      <c r="A20" s="1"/>
      <c r="B20" s="1"/>
      <c r="C20" s="1"/>
      <c r="D20" s="1"/>
      <c r="E20" s="1"/>
      <c r="F20" s="11"/>
      <c r="G20" s="77">
        <v>0.93610000000000004</v>
      </c>
      <c r="H20" s="53">
        <v>1.5</v>
      </c>
      <c r="I20" s="81">
        <f t="shared" ref="I20:I33" si="4">IF(G20&gt;0, G20/$I$16, 0)</f>
        <v>0.9564728721773782</v>
      </c>
      <c r="J20" s="1">
        <f>IF(G20&gt;0, G20/$J$16, 0)</f>
        <v>0.97805871904712161</v>
      </c>
      <c r="K20" s="84"/>
      <c r="L20" s="84"/>
      <c r="M20" s="84"/>
      <c r="N20" s="84"/>
      <c r="O20" s="84"/>
      <c r="P20" s="84"/>
      <c r="Q20" s="84"/>
      <c r="R20" s="84"/>
      <c r="S20" s="84"/>
      <c r="T20" s="84"/>
      <c r="U20" s="84"/>
      <c r="V20" s="84"/>
      <c r="W20" s="84"/>
      <c r="X20" s="85"/>
      <c r="Y20" s="1"/>
      <c r="Z20" s="11"/>
      <c r="AA20" s="77">
        <v>0.93924999999999992</v>
      </c>
      <c r="AB20" s="53">
        <v>1.5</v>
      </c>
      <c r="AC20" s="81">
        <f t="shared" ref="AC20:AQ33" si="5">IF($AA20&gt;0, $AA20/AC$16, 0)</f>
        <v>0.95656867587674843</v>
      </c>
      <c r="AD20" s="81">
        <f t="shared" si="5"/>
        <v>0.97803902784430519</v>
      </c>
      <c r="AE20" s="84"/>
      <c r="AF20" s="84"/>
      <c r="AG20" s="84"/>
      <c r="AH20" s="84"/>
      <c r="AI20" s="84"/>
      <c r="AJ20" s="84"/>
      <c r="AK20" s="84"/>
      <c r="AL20" s="84"/>
      <c r="AM20" s="84"/>
      <c r="AN20" s="84"/>
      <c r="AO20" s="84"/>
      <c r="AP20" s="84"/>
      <c r="AQ20" s="84"/>
      <c r="AR20" s="85"/>
      <c r="AS20" s="1"/>
      <c r="AT20" s="1"/>
      <c r="AU20" s="1"/>
      <c r="AV20" s="1"/>
      <c r="AW20" s="1"/>
      <c r="AX20" s="1"/>
      <c r="AY20" s="1"/>
      <c r="AZ20" s="1"/>
      <c r="BA20" s="1"/>
    </row>
    <row r="21" spans="1:53" x14ac:dyDescent="0.25">
      <c r="A21" s="1"/>
      <c r="B21" s="1"/>
      <c r="C21" s="1"/>
      <c r="D21" s="1"/>
      <c r="E21" s="1"/>
      <c r="F21" s="11"/>
      <c r="G21" s="77">
        <v>0</v>
      </c>
      <c r="H21" s="53">
        <v>2</v>
      </c>
      <c r="I21" s="81">
        <f t="shared" si="4"/>
        <v>0</v>
      </c>
      <c r="J21" s="1">
        <f t="shared" ref="J21:J33" si="6">IF(G21&gt;0, G21/$J$16, 0)</f>
        <v>0</v>
      </c>
      <c r="K21" s="1">
        <f>IF(G21&gt;0, G21/$K$16, 0)</f>
        <v>0</v>
      </c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5"/>
      <c r="Y21" s="1"/>
      <c r="Z21" s="11"/>
      <c r="AA21" s="77">
        <v>0</v>
      </c>
      <c r="AB21" s="53">
        <v>2</v>
      </c>
      <c r="AC21" s="81">
        <f t="shared" si="5"/>
        <v>0</v>
      </c>
      <c r="AD21" s="81">
        <f t="shared" si="5"/>
        <v>0</v>
      </c>
      <c r="AE21" s="81">
        <f t="shared" si="5"/>
        <v>0</v>
      </c>
      <c r="AF21" s="84"/>
      <c r="AG21" s="84"/>
      <c r="AH21" s="84"/>
      <c r="AI21" s="84"/>
      <c r="AJ21" s="84"/>
      <c r="AK21" s="84"/>
      <c r="AL21" s="84"/>
      <c r="AM21" s="84"/>
      <c r="AN21" s="84"/>
      <c r="AO21" s="84"/>
      <c r="AP21" s="84"/>
      <c r="AQ21" s="84"/>
      <c r="AR21" s="85"/>
      <c r="AS21" s="1"/>
      <c r="AT21" s="1"/>
      <c r="AU21" s="1"/>
      <c r="AV21" s="1"/>
      <c r="AW21" s="1"/>
      <c r="AX21" s="1"/>
      <c r="AY21" s="1"/>
      <c r="AZ21" s="1"/>
      <c r="BA21" s="1"/>
    </row>
    <row r="22" spans="1:53" x14ac:dyDescent="0.25">
      <c r="A22" s="1"/>
      <c r="B22" s="1"/>
      <c r="C22" s="1"/>
      <c r="D22" s="1"/>
      <c r="E22" s="1"/>
      <c r="F22" s="11"/>
      <c r="G22" s="77">
        <v>0</v>
      </c>
      <c r="H22" s="53">
        <v>2.5</v>
      </c>
      <c r="I22" s="81">
        <f t="shared" si="4"/>
        <v>0</v>
      </c>
      <c r="J22" s="1">
        <f t="shared" si="6"/>
        <v>0</v>
      </c>
      <c r="K22" s="1">
        <f t="shared" ref="K22:K33" si="7">IF(G22&gt;0, G22/$K$16, 0)</f>
        <v>0</v>
      </c>
      <c r="L22" s="1">
        <f>IF(G22&gt;0, G22/$L$16, 0)</f>
        <v>0</v>
      </c>
      <c r="M22" s="84"/>
      <c r="N22" s="84"/>
      <c r="O22" s="84"/>
      <c r="P22" s="84"/>
      <c r="Q22" s="84"/>
      <c r="R22" s="84"/>
      <c r="S22" s="84"/>
      <c r="T22" s="84"/>
      <c r="U22" s="84"/>
      <c r="V22" s="84"/>
      <c r="W22" s="84"/>
      <c r="X22" s="85"/>
      <c r="Y22" s="1"/>
      <c r="Z22" s="11"/>
      <c r="AA22" s="77">
        <v>0</v>
      </c>
      <c r="AB22" s="53">
        <v>2.5</v>
      </c>
      <c r="AC22" s="81">
        <f t="shared" si="5"/>
        <v>0</v>
      </c>
      <c r="AD22" s="81">
        <f t="shared" si="5"/>
        <v>0</v>
      </c>
      <c r="AE22" s="81">
        <f t="shared" si="5"/>
        <v>0</v>
      </c>
      <c r="AF22" s="81">
        <f t="shared" si="5"/>
        <v>0</v>
      </c>
      <c r="AG22" s="84"/>
      <c r="AH22" s="84"/>
      <c r="AI22" s="84"/>
      <c r="AJ22" s="84"/>
      <c r="AK22" s="84"/>
      <c r="AL22" s="84"/>
      <c r="AM22" s="84"/>
      <c r="AN22" s="84"/>
      <c r="AO22" s="84"/>
      <c r="AP22" s="84"/>
      <c r="AQ22" s="84"/>
      <c r="AR22" s="85"/>
      <c r="AS22" s="1"/>
      <c r="AT22" s="1"/>
      <c r="AU22" s="1"/>
      <c r="AV22" s="1"/>
      <c r="AW22" s="1"/>
      <c r="AX22" s="1"/>
      <c r="AY22" s="1"/>
      <c r="AZ22" s="1"/>
      <c r="BA22" s="1"/>
    </row>
    <row r="23" spans="1:53" x14ac:dyDescent="0.25">
      <c r="A23" s="1"/>
      <c r="B23" s="1"/>
      <c r="C23" s="1"/>
      <c r="D23" s="1"/>
      <c r="E23" s="1"/>
      <c r="F23" s="11"/>
      <c r="G23" s="77">
        <v>0</v>
      </c>
      <c r="H23" s="53">
        <v>3</v>
      </c>
      <c r="I23" s="81">
        <f t="shared" si="4"/>
        <v>0</v>
      </c>
      <c r="J23" s="1">
        <f t="shared" si="6"/>
        <v>0</v>
      </c>
      <c r="K23" s="1">
        <f t="shared" si="7"/>
        <v>0</v>
      </c>
      <c r="L23" s="1">
        <f t="shared" ref="L23:L33" si="8">IF(G23&gt;0, G23/$L$16, 0)</f>
        <v>0</v>
      </c>
      <c r="M23" s="1">
        <f>IF(G23&gt;0, G23/$M$16, 0)</f>
        <v>0</v>
      </c>
      <c r="N23" s="84"/>
      <c r="O23" s="84"/>
      <c r="P23" s="84"/>
      <c r="Q23" s="84"/>
      <c r="R23" s="84"/>
      <c r="S23" s="84"/>
      <c r="T23" s="84"/>
      <c r="U23" s="84"/>
      <c r="V23" s="84"/>
      <c r="W23" s="84"/>
      <c r="X23" s="85"/>
      <c r="Y23" s="1"/>
      <c r="Z23" s="11"/>
      <c r="AA23" s="77">
        <v>0</v>
      </c>
      <c r="AB23" s="53">
        <v>3</v>
      </c>
      <c r="AC23" s="81">
        <f t="shared" si="5"/>
        <v>0</v>
      </c>
      <c r="AD23" s="81">
        <f t="shared" si="5"/>
        <v>0</v>
      </c>
      <c r="AE23" s="81">
        <f t="shared" si="5"/>
        <v>0</v>
      </c>
      <c r="AF23" s="81">
        <f t="shared" si="5"/>
        <v>0</v>
      </c>
      <c r="AG23" s="81">
        <f t="shared" si="5"/>
        <v>0</v>
      </c>
      <c r="AH23" s="84"/>
      <c r="AI23" s="84"/>
      <c r="AJ23" s="84"/>
      <c r="AK23" s="84"/>
      <c r="AL23" s="84"/>
      <c r="AM23" s="84"/>
      <c r="AN23" s="84"/>
      <c r="AO23" s="84"/>
      <c r="AP23" s="84"/>
      <c r="AQ23" s="84"/>
      <c r="AR23" s="85"/>
      <c r="AS23" s="1"/>
      <c r="AT23" s="1"/>
      <c r="AU23" s="1"/>
      <c r="AV23" s="1"/>
      <c r="AW23" s="1"/>
      <c r="AX23" s="1"/>
      <c r="AY23" s="1"/>
      <c r="AZ23" s="1"/>
      <c r="BA23" s="1"/>
    </row>
    <row r="24" spans="1:53" x14ac:dyDescent="0.25">
      <c r="A24" s="1"/>
      <c r="B24" s="1"/>
      <c r="C24" s="1"/>
      <c r="D24" s="1"/>
      <c r="E24" s="1"/>
      <c r="F24" s="11"/>
      <c r="G24" s="77">
        <v>0</v>
      </c>
      <c r="H24" s="53">
        <v>3.5</v>
      </c>
      <c r="I24" s="81">
        <f t="shared" si="4"/>
        <v>0</v>
      </c>
      <c r="J24" s="1">
        <f t="shared" si="6"/>
        <v>0</v>
      </c>
      <c r="K24" s="1">
        <f t="shared" si="7"/>
        <v>0</v>
      </c>
      <c r="L24" s="1">
        <f t="shared" si="8"/>
        <v>0</v>
      </c>
      <c r="M24" s="1">
        <f t="shared" ref="M24:M33" si="9">IF(G24&gt;0, G24/$M$16, 0)</f>
        <v>0</v>
      </c>
      <c r="N24" s="1">
        <f>IF(G24&gt;0, G24/$N$16, 0)</f>
        <v>0</v>
      </c>
      <c r="O24" s="84"/>
      <c r="P24" s="84"/>
      <c r="Q24" s="84"/>
      <c r="R24" s="84"/>
      <c r="S24" s="84"/>
      <c r="T24" s="84"/>
      <c r="U24" s="84"/>
      <c r="V24" s="84"/>
      <c r="W24" s="84"/>
      <c r="X24" s="85"/>
      <c r="Y24" s="1"/>
      <c r="Z24" s="11"/>
      <c r="AA24" s="77">
        <v>0</v>
      </c>
      <c r="AB24" s="53">
        <v>3.5</v>
      </c>
      <c r="AC24" s="81">
        <f t="shared" si="5"/>
        <v>0</v>
      </c>
      <c r="AD24" s="81">
        <f t="shared" si="5"/>
        <v>0</v>
      </c>
      <c r="AE24" s="81">
        <f t="shared" si="5"/>
        <v>0</v>
      </c>
      <c r="AF24" s="81">
        <f t="shared" si="5"/>
        <v>0</v>
      </c>
      <c r="AG24" s="81">
        <f t="shared" si="5"/>
        <v>0</v>
      </c>
      <c r="AH24" s="81">
        <f t="shared" si="5"/>
        <v>0</v>
      </c>
      <c r="AI24" s="84"/>
      <c r="AJ24" s="84"/>
      <c r="AK24" s="84"/>
      <c r="AL24" s="84"/>
      <c r="AM24" s="84"/>
      <c r="AN24" s="84"/>
      <c r="AO24" s="84"/>
      <c r="AP24" s="84"/>
      <c r="AQ24" s="84"/>
      <c r="AR24" s="85"/>
      <c r="AS24" s="1"/>
      <c r="AT24" s="1"/>
      <c r="AU24" s="1"/>
      <c r="AV24" s="1"/>
      <c r="AW24" s="1"/>
      <c r="AX24" s="1"/>
      <c r="AY24" s="1"/>
      <c r="AZ24" s="1"/>
      <c r="BA24" s="1"/>
    </row>
    <row r="25" spans="1:53" x14ac:dyDescent="0.25">
      <c r="A25" s="1"/>
      <c r="B25" s="1"/>
      <c r="C25" s="1"/>
      <c r="D25" s="1"/>
      <c r="E25" s="1"/>
      <c r="F25" s="11"/>
      <c r="G25" s="77">
        <v>0</v>
      </c>
      <c r="H25" s="53">
        <v>4</v>
      </c>
      <c r="I25" s="81">
        <f t="shared" si="4"/>
        <v>0</v>
      </c>
      <c r="J25" s="1">
        <f t="shared" si="6"/>
        <v>0</v>
      </c>
      <c r="K25" s="1">
        <f t="shared" si="7"/>
        <v>0</v>
      </c>
      <c r="L25" s="1">
        <f t="shared" si="8"/>
        <v>0</v>
      </c>
      <c r="M25" s="1">
        <f t="shared" si="9"/>
        <v>0</v>
      </c>
      <c r="N25" s="1">
        <f t="shared" ref="N25:N33" si="10">IF(G25&gt;0, G25/$N$16, 0)</f>
        <v>0</v>
      </c>
      <c r="O25" s="1">
        <f>IF(G25&gt;0, G25/$O$16, 0)</f>
        <v>0</v>
      </c>
      <c r="P25" s="84"/>
      <c r="Q25" s="84"/>
      <c r="R25" s="84"/>
      <c r="S25" s="84"/>
      <c r="T25" s="84"/>
      <c r="U25" s="84"/>
      <c r="V25" s="84"/>
      <c r="W25" s="84"/>
      <c r="X25" s="85"/>
      <c r="Y25" s="1"/>
      <c r="Z25" s="11"/>
      <c r="AA25" s="77">
        <v>0</v>
      </c>
      <c r="AB25" s="53">
        <v>4</v>
      </c>
      <c r="AC25" s="81">
        <f t="shared" si="5"/>
        <v>0</v>
      </c>
      <c r="AD25" s="81">
        <f t="shared" si="5"/>
        <v>0</v>
      </c>
      <c r="AE25" s="81">
        <f t="shared" si="5"/>
        <v>0</v>
      </c>
      <c r="AF25" s="81">
        <f t="shared" si="5"/>
        <v>0</v>
      </c>
      <c r="AG25" s="81">
        <f t="shared" si="5"/>
        <v>0</v>
      </c>
      <c r="AH25" s="81">
        <f t="shared" si="5"/>
        <v>0</v>
      </c>
      <c r="AI25" s="81">
        <f t="shared" si="5"/>
        <v>0</v>
      </c>
      <c r="AJ25" s="84"/>
      <c r="AK25" s="84"/>
      <c r="AL25" s="84"/>
      <c r="AM25" s="84"/>
      <c r="AN25" s="84"/>
      <c r="AO25" s="84"/>
      <c r="AP25" s="84"/>
      <c r="AQ25" s="84"/>
      <c r="AR25" s="85"/>
      <c r="AS25" s="1"/>
      <c r="AT25" s="1"/>
      <c r="AU25" s="1"/>
      <c r="AV25" s="1"/>
      <c r="AW25" s="1"/>
      <c r="AX25" s="1"/>
      <c r="AY25" s="1"/>
      <c r="AZ25" s="1"/>
      <c r="BA25" s="1"/>
    </row>
    <row r="26" spans="1:53" x14ac:dyDescent="0.25">
      <c r="A26" s="1"/>
      <c r="B26" s="1"/>
      <c r="C26" s="1"/>
      <c r="D26" s="1"/>
      <c r="E26" s="1"/>
      <c r="F26" s="11"/>
      <c r="G26" s="77">
        <v>0</v>
      </c>
      <c r="H26" s="53">
        <v>4.5</v>
      </c>
      <c r="I26" s="81">
        <f t="shared" si="4"/>
        <v>0</v>
      </c>
      <c r="J26" s="1">
        <f t="shared" si="6"/>
        <v>0</v>
      </c>
      <c r="K26" s="1">
        <f t="shared" si="7"/>
        <v>0</v>
      </c>
      <c r="L26" s="1">
        <f t="shared" si="8"/>
        <v>0</v>
      </c>
      <c r="M26" s="1">
        <f t="shared" si="9"/>
        <v>0</v>
      </c>
      <c r="N26" s="1">
        <f t="shared" si="10"/>
        <v>0</v>
      </c>
      <c r="O26" s="1">
        <f t="shared" ref="O26:O33" si="11">IF(G26&gt;0, G26/$O$16, 0)</f>
        <v>0</v>
      </c>
      <c r="P26" s="1">
        <f>IF(G26&gt;0, G26/$P$16, 0)</f>
        <v>0</v>
      </c>
      <c r="Q26" s="84"/>
      <c r="R26" s="84"/>
      <c r="S26" s="84"/>
      <c r="T26" s="84"/>
      <c r="U26" s="84"/>
      <c r="V26" s="84"/>
      <c r="W26" s="84"/>
      <c r="X26" s="85"/>
      <c r="Y26" s="1"/>
      <c r="Z26" s="11"/>
      <c r="AA26" s="77">
        <v>0</v>
      </c>
      <c r="AB26" s="53">
        <v>4.5</v>
      </c>
      <c r="AC26" s="81">
        <f t="shared" si="5"/>
        <v>0</v>
      </c>
      <c r="AD26" s="81">
        <f t="shared" si="5"/>
        <v>0</v>
      </c>
      <c r="AE26" s="81">
        <f t="shared" si="5"/>
        <v>0</v>
      </c>
      <c r="AF26" s="81">
        <f t="shared" si="5"/>
        <v>0</v>
      </c>
      <c r="AG26" s="81">
        <f t="shared" si="5"/>
        <v>0</v>
      </c>
      <c r="AH26" s="81">
        <f t="shared" si="5"/>
        <v>0</v>
      </c>
      <c r="AI26" s="81">
        <f t="shared" si="5"/>
        <v>0</v>
      </c>
      <c r="AJ26" s="81">
        <f t="shared" si="5"/>
        <v>0</v>
      </c>
      <c r="AK26" s="84"/>
      <c r="AL26" s="84"/>
      <c r="AM26" s="84"/>
      <c r="AN26" s="84"/>
      <c r="AO26" s="84"/>
      <c r="AP26" s="84"/>
      <c r="AQ26" s="84"/>
      <c r="AR26" s="85"/>
      <c r="AS26" s="1"/>
      <c r="AT26" s="1"/>
      <c r="AU26" s="1"/>
      <c r="AV26" s="1"/>
      <c r="AW26" s="1"/>
      <c r="AX26" s="1"/>
      <c r="AY26" s="1"/>
      <c r="AZ26" s="1"/>
      <c r="BA26" s="1"/>
    </row>
    <row r="27" spans="1:53" x14ac:dyDescent="0.25">
      <c r="A27" s="1"/>
      <c r="B27" s="1"/>
      <c r="C27" s="1"/>
      <c r="D27" s="1"/>
      <c r="E27" s="1"/>
      <c r="F27" s="11"/>
      <c r="G27" s="77">
        <v>0</v>
      </c>
      <c r="H27" s="53">
        <v>5</v>
      </c>
      <c r="I27" s="81">
        <f t="shared" si="4"/>
        <v>0</v>
      </c>
      <c r="J27" s="1">
        <f t="shared" si="6"/>
        <v>0</v>
      </c>
      <c r="K27" s="1">
        <f t="shared" si="7"/>
        <v>0</v>
      </c>
      <c r="L27" s="1">
        <f t="shared" si="8"/>
        <v>0</v>
      </c>
      <c r="M27" s="1">
        <f t="shared" si="9"/>
        <v>0</v>
      </c>
      <c r="N27" s="1">
        <f t="shared" si="10"/>
        <v>0</v>
      </c>
      <c r="O27" s="1">
        <f t="shared" si="11"/>
        <v>0</v>
      </c>
      <c r="P27" s="1">
        <f t="shared" ref="P27:P33" si="12">IF(G27&gt;0, G27/$P$16, 0)</f>
        <v>0</v>
      </c>
      <c r="Q27" s="1">
        <f>IF(G27&gt;0, G27/$Q$16, 0)</f>
        <v>0</v>
      </c>
      <c r="R27" s="84"/>
      <c r="S27" s="84"/>
      <c r="T27" s="84"/>
      <c r="U27" s="84"/>
      <c r="V27" s="84"/>
      <c r="W27" s="84"/>
      <c r="X27" s="85"/>
      <c r="Y27" s="1"/>
      <c r="Z27" s="11"/>
      <c r="AA27" s="77">
        <v>0</v>
      </c>
      <c r="AB27" s="53">
        <v>5</v>
      </c>
      <c r="AC27" s="81">
        <f t="shared" si="5"/>
        <v>0</v>
      </c>
      <c r="AD27" s="81">
        <f t="shared" si="5"/>
        <v>0</v>
      </c>
      <c r="AE27" s="81">
        <f t="shared" si="5"/>
        <v>0</v>
      </c>
      <c r="AF27" s="81">
        <f t="shared" si="5"/>
        <v>0</v>
      </c>
      <c r="AG27" s="81">
        <f t="shared" si="5"/>
        <v>0</v>
      </c>
      <c r="AH27" s="81">
        <f t="shared" si="5"/>
        <v>0</v>
      </c>
      <c r="AI27" s="81">
        <f t="shared" si="5"/>
        <v>0</v>
      </c>
      <c r="AJ27" s="81">
        <f t="shared" si="5"/>
        <v>0</v>
      </c>
      <c r="AK27" s="81">
        <f t="shared" si="5"/>
        <v>0</v>
      </c>
      <c r="AL27" s="84"/>
      <c r="AM27" s="84"/>
      <c r="AN27" s="84"/>
      <c r="AO27" s="84"/>
      <c r="AP27" s="84"/>
      <c r="AQ27" s="84"/>
      <c r="AR27" s="85"/>
      <c r="AS27" s="1"/>
      <c r="AT27" s="1"/>
      <c r="AU27" s="1"/>
      <c r="AV27" s="1"/>
      <c r="AW27" s="1"/>
      <c r="AX27" s="1"/>
      <c r="AY27" s="1"/>
      <c r="AZ27" s="1"/>
      <c r="BA27" s="1"/>
    </row>
    <row r="28" spans="1:53" x14ac:dyDescent="0.25">
      <c r="A28" s="1"/>
      <c r="B28" s="1"/>
      <c r="C28" s="1"/>
      <c r="D28" s="1"/>
      <c r="E28" s="1"/>
      <c r="F28" s="11"/>
      <c r="G28" s="77">
        <v>0</v>
      </c>
      <c r="H28" s="53">
        <v>5.5</v>
      </c>
      <c r="I28" s="81">
        <f t="shared" si="4"/>
        <v>0</v>
      </c>
      <c r="J28" s="1">
        <f t="shared" si="6"/>
        <v>0</v>
      </c>
      <c r="K28" s="1">
        <f t="shared" si="7"/>
        <v>0</v>
      </c>
      <c r="L28" s="1">
        <f t="shared" si="8"/>
        <v>0</v>
      </c>
      <c r="M28" s="1">
        <f t="shared" si="9"/>
        <v>0</v>
      </c>
      <c r="N28" s="1">
        <f t="shared" si="10"/>
        <v>0</v>
      </c>
      <c r="O28" s="1">
        <f t="shared" si="11"/>
        <v>0</v>
      </c>
      <c r="P28" s="1">
        <f t="shared" si="12"/>
        <v>0</v>
      </c>
      <c r="Q28" s="1">
        <f t="shared" ref="Q28:Q33" si="13">IF(G28&gt;0, G28/$Q$16, 0)</f>
        <v>0</v>
      </c>
      <c r="R28" s="1">
        <f>IF(G28&gt;0, G28/$R$16, 0)</f>
        <v>0</v>
      </c>
      <c r="S28" s="84"/>
      <c r="T28" s="84"/>
      <c r="U28" s="84"/>
      <c r="V28" s="84"/>
      <c r="W28" s="84"/>
      <c r="X28" s="85"/>
      <c r="Y28" s="1"/>
      <c r="Z28" s="11"/>
      <c r="AA28" s="77">
        <v>0</v>
      </c>
      <c r="AB28" s="53">
        <v>5.5</v>
      </c>
      <c r="AC28" s="81">
        <f t="shared" si="5"/>
        <v>0</v>
      </c>
      <c r="AD28" s="81">
        <f t="shared" si="5"/>
        <v>0</v>
      </c>
      <c r="AE28" s="81">
        <f t="shared" si="5"/>
        <v>0</v>
      </c>
      <c r="AF28" s="81">
        <f t="shared" si="5"/>
        <v>0</v>
      </c>
      <c r="AG28" s="81">
        <f t="shared" si="5"/>
        <v>0</v>
      </c>
      <c r="AH28" s="81">
        <f t="shared" si="5"/>
        <v>0</v>
      </c>
      <c r="AI28" s="81">
        <f t="shared" si="5"/>
        <v>0</v>
      </c>
      <c r="AJ28" s="81">
        <f t="shared" si="5"/>
        <v>0</v>
      </c>
      <c r="AK28" s="81">
        <f t="shared" si="5"/>
        <v>0</v>
      </c>
      <c r="AL28" s="81">
        <f t="shared" si="5"/>
        <v>0</v>
      </c>
      <c r="AM28" s="84"/>
      <c r="AN28" s="84"/>
      <c r="AO28" s="84"/>
      <c r="AP28" s="84"/>
      <c r="AQ28" s="84"/>
      <c r="AR28" s="85"/>
      <c r="AS28" s="1"/>
      <c r="AT28" s="1"/>
      <c r="AU28" s="1"/>
      <c r="AV28" s="1"/>
      <c r="AW28" s="1"/>
      <c r="AX28" s="1"/>
      <c r="AY28" s="1"/>
      <c r="AZ28" s="1"/>
      <c r="BA28" s="1"/>
    </row>
    <row r="29" spans="1:53" x14ac:dyDescent="0.25">
      <c r="A29" s="1"/>
      <c r="B29" s="1"/>
      <c r="C29" s="1"/>
      <c r="D29" s="1"/>
      <c r="E29" s="1"/>
      <c r="F29" s="11"/>
      <c r="G29" s="77">
        <v>0</v>
      </c>
      <c r="H29" s="53">
        <v>6</v>
      </c>
      <c r="I29" s="81">
        <f t="shared" si="4"/>
        <v>0</v>
      </c>
      <c r="J29" s="1">
        <f t="shared" si="6"/>
        <v>0</v>
      </c>
      <c r="K29" s="1">
        <f t="shared" si="7"/>
        <v>0</v>
      </c>
      <c r="L29" s="1">
        <f t="shared" si="8"/>
        <v>0</v>
      </c>
      <c r="M29" s="1">
        <f t="shared" si="9"/>
        <v>0</v>
      </c>
      <c r="N29" s="1">
        <f t="shared" si="10"/>
        <v>0</v>
      </c>
      <c r="O29" s="1">
        <f t="shared" si="11"/>
        <v>0</v>
      </c>
      <c r="P29" s="1">
        <f t="shared" si="12"/>
        <v>0</v>
      </c>
      <c r="Q29" s="1">
        <f t="shared" si="13"/>
        <v>0</v>
      </c>
      <c r="R29" s="1">
        <f t="shared" ref="R29:R33" si="14">IF(G29&gt;0, G29/$R$16, 0)</f>
        <v>0</v>
      </c>
      <c r="S29" s="1">
        <f>IF(G29&gt;0, G29/$S$16, 0)</f>
        <v>0</v>
      </c>
      <c r="T29" s="84"/>
      <c r="U29" s="84"/>
      <c r="V29" s="84"/>
      <c r="W29" s="84"/>
      <c r="X29" s="85"/>
      <c r="Y29" s="1"/>
      <c r="Z29" s="11"/>
      <c r="AA29" s="77">
        <v>0</v>
      </c>
      <c r="AB29" s="53">
        <v>6</v>
      </c>
      <c r="AC29" s="81">
        <f t="shared" si="5"/>
        <v>0</v>
      </c>
      <c r="AD29" s="81">
        <f t="shared" si="5"/>
        <v>0</v>
      </c>
      <c r="AE29" s="81">
        <f t="shared" si="5"/>
        <v>0</v>
      </c>
      <c r="AF29" s="81">
        <f t="shared" si="5"/>
        <v>0</v>
      </c>
      <c r="AG29" s="81">
        <f t="shared" si="5"/>
        <v>0</v>
      </c>
      <c r="AH29" s="81">
        <f t="shared" si="5"/>
        <v>0</v>
      </c>
      <c r="AI29" s="81">
        <f t="shared" si="5"/>
        <v>0</v>
      </c>
      <c r="AJ29" s="81">
        <f t="shared" si="5"/>
        <v>0</v>
      </c>
      <c r="AK29" s="81">
        <f t="shared" si="5"/>
        <v>0</v>
      </c>
      <c r="AL29" s="81">
        <f t="shared" si="5"/>
        <v>0</v>
      </c>
      <c r="AM29" s="81">
        <f t="shared" si="5"/>
        <v>0</v>
      </c>
      <c r="AN29" s="84"/>
      <c r="AO29" s="84"/>
      <c r="AP29" s="84"/>
      <c r="AQ29" s="84"/>
      <c r="AR29" s="85"/>
      <c r="AS29" s="1"/>
      <c r="AT29" s="1"/>
      <c r="AU29" s="1"/>
      <c r="AV29" s="1"/>
      <c r="AW29" s="1"/>
      <c r="AX29" s="1"/>
      <c r="AY29" s="1"/>
      <c r="AZ29" s="1"/>
      <c r="BA29" s="1"/>
    </row>
    <row r="30" spans="1:53" x14ac:dyDescent="0.25">
      <c r="A30" s="1"/>
      <c r="B30" s="1"/>
      <c r="C30" s="1"/>
      <c r="D30" s="1"/>
      <c r="E30" s="1"/>
      <c r="F30" s="11"/>
      <c r="G30" s="77">
        <v>0</v>
      </c>
      <c r="H30" s="53">
        <v>6.5</v>
      </c>
      <c r="I30" s="81">
        <f t="shared" si="4"/>
        <v>0</v>
      </c>
      <c r="J30" s="1">
        <f t="shared" si="6"/>
        <v>0</v>
      </c>
      <c r="K30" s="1">
        <f t="shared" si="7"/>
        <v>0</v>
      </c>
      <c r="L30" s="1">
        <f t="shared" si="8"/>
        <v>0</v>
      </c>
      <c r="M30" s="1">
        <f t="shared" si="9"/>
        <v>0</v>
      </c>
      <c r="N30" s="1">
        <f t="shared" si="10"/>
        <v>0</v>
      </c>
      <c r="O30" s="1">
        <f t="shared" si="11"/>
        <v>0</v>
      </c>
      <c r="P30" s="1">
        <f t="shared" si="12"/>
        <v>0</v>
      </c>
      <c r="Q30" s="1">
        <f t="shared" si="13"/>
        <v>0</v>
      </c>
      <c r="R30" s="1">
        <f t="shared" si="14"/>
        <v>0</v>
      </c>
      <c r="S30" s="1">
        <f t="shared" ref="S30:S33" si="15">IF(G30&gt;0, G30/$S$16, 0)</f>
        <v>0</v>
      </c>
      <c r="T30" s="1">
        <f>IF(G30&gt;0, G30/$T$16, 0)</f>
        <v>0</v>
      </c>
      <c r="U30" s="84"/>
      <c r="V30" s="84"/>
      <c r="W30" s="84"/>
      <c r="X30" s="85"/>
      <c r="Y30" s="1"/>
      <c r="Z30" s="11"/>
      <c r="AA30" s="77">
        <v>0</v>
      </c>
      <c r="AB30" s="53">
        <v>6.5</v>
      </c>
      <c r="AC30" s="81">
        <f t="shared" si="5"/>
        <v>0</v>
      </c>
      <c r="AD30" s="81">
        <f t="shared" si="5"/>
        <v>0</v>
      </c>
      <c r="AE30" s="81">
        <f t="shared" si="5"/>
        <v>0</v>
      </c>
      <c r="AF30" s="81">
        <f t="shared" si="5"/>
        <v>0</v>
      </c>
      <c r="AG30" s="81">
        <f t="shared" si="5"/>
        <v>0</v>
      </c>
      <c r="AH30" s="81">
        <f t="shared" si="5"/>
        <v>0</v>
      </c>
      <c r="AI30" s="81">
        <f t="shared" si="5"/>
        <v>0</v>
      </c>
      <c r="AJ30" s="81">
        <f t="shared" si="5"/>
        <v>0</v>
      </c>
      <c r="AK30" s="81">
        <f t="shared" si="5"/>
        <v>0</v>
      </c>
      <c r="AL30" s="81">
        <f t="shared" si="5"/>
        <v>0</v>
      </c>
      <c r="AM30" s="81">
        <f t="shared" si="5"/>
        <v>0</v>
      </c>
      <c r="AN30" s="81">
        <f t="shared" si="5"/>
        <v>0</v>
      </c>
      <c r="AO30" s="84"/>
      <c r="AP30" s="84"/>
      <c r="AQ30" s="84"/>
      <c r="AR30" s="85"/>
      <c r="AS30" s="1"/>
      <c r="AT30" s="1"/>
      <c r="AU30" s="1"/>
      <c r="AV30" s="1"/>
      <c r="AW30" s="1"/>
      <c r="AX30" s="1"/>
      <c r="AY30" s="1"/>
      <c r="AZ30" s="1"/>
      <c r="BA30" s="1"/>
    </row>
    <row r="31" spans="1:53" x14ac:dyDescent="0.25">
      <c r="A31" s="1"/>
      <c r="B31" s="1"/>
      <c r="C31" s="1"/>
      <c r="D31" s="1"/>
      <c r="E31" s="1"/>
      <c r="F31" s="11"/>
      <c r="G31" s="77">
        <v>0</v>
      </c>
      <c r="H31" s="53">
        <v>7</v>
      </c>
      <c r="I31" s="81">
        <f t="shared" si="4"/>
        <v>0</v>
      </c>
      <c r="J31" s="1">
        <f t="shared" si="6"/>
        <v>0</v>
      </c>
      <c r="K31" s="1">
        <f t="shared" si="7"/>
        <v>0</v>
      </c>
      <c r="L31" s="1">
        <f t="shared" si="8"/>
        <v>0</v>
      </c>
      <c r="M31" s="1">
        <f t="shared" si="9"/>
        <v>0</v>
      </c>
      <c r="N31" s="1">
        <f t="shared" si="10"/>
        <v>0</v>
      </c>
      <c r="O31" s="1">
        <f t="shared" si="11"/>
        <v>0</v>
      </c>
      <c r="P31" s="1">
        <f t="shared" si="12"/>
        <v>0</v>
      </c>
      <c r="Q31" s="1">
        <f t="shared" si="13"/>
        <v>0</v>
      </c>
      <c r="R31" s="1">
        <f t="shared" si="14"/>
        <v>0</v>
      </c>
      <c r="S31" s="1">
        <f t="shared" si="15"/>
        <v>0</v>
      </c>
      <c r="T31" s="1">
        <f t="shared" ref="T31:T33" si="16">IF(G31&gt;0, G31/$T$16, 0)</f>
        <v>0</v>
      </c>
      <c r="U31" s="1">
        <f>IF(G31&gt;0, G31/$U$16, 0)</f>
        <v>0</v>
      </c>
      <c r="V31" s="84"/>
      <c r="W31" s="84"/>
      <c r="X31" s="85"/>
      <c r="Y31" s="1"/>
      <c r="Z31" s="11"/>
      <c r="AA31" s="77">
        <v>0</v>
      </c>
      <c r="AB31" s="53">
        <v>7</v>
      </c>
      <c r="AC31" s="81">
        <f t="shared" si="5"/>
        <v>0</v>
      </c>
      <c r="AD31" s="81">
        <f t="shared" si="5"/>
        <v>0</v>
      </c>
      <c r="AE31" s="81">
        <f t="shared" si="5"/>
        <v>0</v>
      </c>
      <c r="AF31" s="81">
        <f t="shared" si="5"/>
        <v>0</v>
      </c>
      <c r="AG31" s="81">
        <f t="shared" si="5"/>
        <v>0</v>
      </c>
      <c r="AH31" s="81">
        <f t="shared" si="5"/>
        <v>0</v>
      </c>
      <c r="AI31" s="81">
        <f t="shared" si="5"/>
        <v>0</v>
      </c>
      <c r="AJ31" s="81">
        <f t="shared" si="5"/>
        <v>0</v>
      </c>
      <c r="AK31" s="81">
        <f t="shared" si="5"/>
        <v>0</v>
      </c>
      <c r="AL31" s="81">
        <f t="shared" si="5"/>
        <v>0</v>
      </c>
      <c r="AM31" s="81">
        <f t="shared" si="5"/>
        <v>0</v>
      </c>
      <c r="AN31" s="81">
        <f t="shared" si="5"/>
        <v>0</v>
      </c>
      <c r="AO31" s="81">
        <f t="shared" si="5"/>
        <v>0</v>
      </c>
      <c r="AP31" s="84"/>
      <c r="AQ31" s="84"/>
      <c r="AR31" s="85"/>
      <c r="AS31" s="1"/>
      <c r="AT31" s="1"/>
      <c r="AU31" s="1"/>
      <c r="AV31" s="1"/>
      <c r="AW31" s="1"/>
      <c r="AX31" s="1"/>
      <c r="AY31" s="1"/>
      <c r="AZ31" s="1"/>
      <c r="BA31" s="1"/>
    </row>
    <row r="32" spans="1:53" x14ac:dyDescent="0.25">
      <c r="A32" s="1"/>
      <c r="B32" s="1"/>
      <c r="C32" s="1"/>
      <c r="D32" s="1"/>
      <c r="E32" s="1"/>
      <c r="F32" s="11"/>
      <c r="G32" s="77">
        <v>0</v>
      </c>
      <c r="H32" s="53">
        <v>7.5</v>
      </c>
      <c r="I32" s="81">
        <f t="shared" si="4"/>
        <v>0</v>
      </c>
      <c r="J32" s="1">
        <f t="shared" si="6"/>
        <v>0</v>
      </c>
      <c r="K32" s="1">
        <f t="shared" si="7"/>
        <v>0</v>
      </c>
      <c r="L32" s="1">
        <f t="shared" si="8"/>
        <v>0</v>
      </c>
      <c r="M32" s="1">
        <f t="shared" si="9"/>
        <v>0</v>
      </c>
      <c r="N32" s="1">
        <f t="shared" si="10"/>
        <v>0</v>
      </c>
      <c r="O32" s="1">
        <f t="shared" si="11"/>
        <v>0</v>
      </c>
      <c r="P32" s="1">
        <f t="shared" si="12"/>
        <v>0</v>
      </c>
      <c r="Q32" s="1">
        <f t="shared" si="13"/>
        <v>0</v>
      </c>
      <c r="R32" s="1">
        <f t="shared" si="14"/>
        <v>0</v>
      </c>
      <c r="S32" s="1">
        <f t="shared" si="15"/>
        <v>0</v>
      </c>
      <c r="T32" s="1">
        <f t="shared" si="16"/>
        <v>0</v>
      </c>
      <c r="U32" s="1">
        <f t="shared" ref="U32:U33" si="17">IF(G32&gt;0, G32/$U$16, 0)</f>
        <v>0</v>
      </c>
      <c r="V32" s="1">
        <f>IF(G32&gt;0, G32/$V$16, 0)</f>
        <v>0</v>
      </c>
      <c r="W32" s="84"/>
      <c r="X32" s="85"/>
      <c r="Y32" s="1"/>
      <c r="Z32" s="11"/>
      <c r="AA32" s="77">
        <v>0</v>
      </c>
      <c r="AB32" s="53">
        <v>7.5</v>
      </c>
      <c r="AC32" s="81">
        <f t="shared" si="5"/>
        <v>0</v>
      </c>
      <c r="AD32" s="81">
        <f t="shared" si="5"/>
        <v>0</v>
      </c>
      <c r="AE32" s="81">
        <f t="shared" si="5"/>
        <v>0</v>
      </c>
      <c r="AF32" s="81">
        <f t="shared" si="5"/>
        <v>0</v>
      </c>
      <c r="AG32" s="81">
        <f t="shared" si="5"/>
        <v>0</v>
      </c>
      <c r="AH32" s="81">
        <f t="shared" si="5"/>
        <v>0</v>
      </c>
      <c r="AI32" s="81">
        <f t="shared" si="5"/>
        <v>0</v>
      </c>
      <c r="AJ32" s="81">
        <f t="shared" si="5"/>
        <v>0</v>
      </c>
      <c r="AK32" s="81">
        <f t="shared" si="5"/>
        <v>0</v>
      </c>
      <c r="AL32" s="81">
        <f t="shared" si="5"/>
        <v>0</v>
      </c>
      <c r="AM32" s="81">
        <f t="shared" si="5"/>
        <v>0</v>
      </c>
      <c r="AN32" s="81">
        <f t="shared" si="5"/>
        <v>0</v>
      </c>
      <c r="AO32" s="81">
        <f t="shared" si="5"/>
        <v>0</v>
      </c>
      <c r="AP32" s="81">
        <f t="shared" si="5"/>
        <v>0</v>
      </c>
      <c r="AQ32" s="84"/>
      <c r="AR32" s="85"/>
      <c r="AS32" s="1"/>
      <c r="AT32" s="1"/>
      <c r="AU32" s="1"/>
      <c r="AV32" s="1"/>
      <c r="AW32" s="1"/>
      <c r="AX32" s="1"/>
      <c r="AY32" s="1"/>
      <c r="AZ32" s="1"/>
      <c r="BA32" s="1"/>
    </row>
    <row r="33" spans="1:53" ht="15.75" thickBot="1" x14ac:dyDescent="0.3">
      <c r="A33" s="1"/>
      <c r="B33" s="1"/>
      <c r="C33" s="1"/>
      <c r="D33" s="1"/>
      <c r="E33" s="1"/>
      <c r="F33" s="13"/>
      <c r="G33" s="80">
        <v>0</v>
      </c>
      <c r="H33" s="56">
        <v>8</v>
      </c>
      <c r="I33" s="82">
        <f t="shared" si="4"/>
        <v>0</v>
      </c>
      <c r="J33" s="14">
        <f t="shared" si="6"/>
        <v>0</v>
      </c>
      <c r="K33" s="14">
        <f t="shared" si="7"/>
        <v>0</v>
      </c>
      <c r="L33" s="14">
        <f t="shared" si="8"/>
        <v>0</v>
      </c>
      <c r="M33" s="14">
        <f t="shared" si="9"/>
        <v>0</v>
      </c>
      <c r="N33" s="14">
        <f t="shared" si="10"/>
        <v>0</v>
      </c>
      <c r="O33" s="14">
        <f t="shared" si="11"/>
        <v>0</v>
      </c>
      <c r="P33" s="14">
        <f t="shared" si="12"/>
        <v>0</v>
      </c>
      <c r="Q33" s="14">
        <f t="shared" si="13"/>
        <v>0</v>
      </c>
      <c r="R33" s="14">
        <f t="shared" si="14"/>
        <v>0</v>
      </c>
      <c r="S33" s="14">
        <f t="shared" si="15"/>
        <v>0</v>
      </c>
      <c r="T33" s="14">
        <f t="shared" si="16"/>
        <v>0</v>
      </c>
      <c r="U33" s="14">
        <f t="shared" si="17"/>
        <v>0</v>
      </c>
      <c r="V33" s="14">
        <f>IF(G33&gt;0, G33/$V$16, 0)</f>
        <v>0</v>
      </c>
      <c r="W33" s="14">
        <f>IF(G33&gt;0, G33/$W$16, 0)</f>
        <v>0</v>
      </c>
      <c r="X33" s="86"/>
      <c r="Y33" s="1"/>
      <c r="Z33" s="13"/>
      <c r="AA33" s="80">
        <v>0</v>
      </c>
      <c r="AB33" s="56">
        <v>8</v>
      </c>
      <c r="AC33" s="82">
        <f t="shared" si="5"/>
        <v>0</v>
      </c>
      <c r="AD33" s="82">
        <f t="shared" si="5"/>
        <v>0</v>
      </c>
      <c r="AE33" s="82">
        <f t="shared" si="5"/>
        <v>0</v>
      </c>
      <c r="AF33" s="82">
        <f t="shared" si="5"/>
        <v>0</v>
      </c>
      <c r="AG33" s="82">
        <f t="shared" si="5"/>
        <v>0</v>
      </c>
      <c r="AH33" s="82">
        <f t="shared" si="5"/>
        <v>0</v>
      </c>
      <c r="AI33" s="82">
        <f t="shared" si="5"/>
        <v>0</v>
      </c>
      <c r="AJ33" s="82">
        <f t="shared" si="5"/>
        <v>0</v>
      </c>
      <c r="AK33" s="82">
        <f t="shared" si="5"/>
        <v>0</v>
      </c>
      <c r="AL33" s="82">
        <f t="shared" si="5"/>
        <v>0</v>
      </c>
      <c r="AM33" s="82">
        <f t="shared" si="5"/>
        <v>0</v>
      </c>
      <c r="AN33" s="82">
        <f t="shared" si="5"/>
        <v>0</v>
      </c>
      <c r="AO33" s="82">
        <f t="shared" si="5"/>
        <v>0</v>
      </c>
      <c r="AP33" s="82">
        <f t="shared" si="5"/>
        <v>0</v>
      </c>
      <c r="AQ33" s="82">
        <f t="shared" si="5"/>
        <v>0</v>
      </c>
      <c r="AR33" s="86"/>
      <c r="AS33" s="1"/>
      <c r="AT33" s="1"/>
      <c r="AU33" s="1"/>
      <c r="AV33" s="1"/>
      <c r="AW33" s="1"/>
      <c r="AX33" s="1"/>
      <c r="AY33" s="1"/>
      <c r="AZ33" s="1"/>
      <c r="BA33" s="1"/>
    </row>
    <row r="34" spans="1:53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</row>
    <row r="35" spans="1:53" x14ac:dyDescent="0.25">
      <c r="A35" s="1"/>
      <c r="B35" s="1"/>
      <c r="C35" s="1"/>
      <c r="D35" s="1"/>
      <c r="E35" s="1"/>
      <c r="F35" s="1" t="s">
        <v>95</v>
      </c>
      <c r="G35" s="18">
        <v>2</v>
      </c>
      <c r="H35" s="1" t="s">
        <v>46</v>
      </c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</row>
    <row r="36" spans="1:53" ht="15.75" thickBot="1" x14ac:dyDescent="0.3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</row>
    <row r="37" spans="1:53" x14ac:dyDescent="0.25">
      <c r="A37" s="1"/>
      <c r="B37" s="1"/>
      <c r="C37" s="1"/>
      <c r="D37" s="1"/>
      <c r="E37" s="1"/>
      <c r="F37" s="89" t="s">
        <v>96</v>
      </c>
      <c r="G37" s="9" t="s">
        <v>93</v>
      </c>
      <c r="H37" s="78">
        <v>1</v>
      </c>
      <c r="I37" s="78">
        <f>H9</f>
        <v>0.97870000000000001</v>
      </c>
      <c r="J37" s="78">
        <f t="shared" ref="J37:X37" si="18">I9</f>
        <v>0.95709999999999995</v>
      </c>
      <c r="K37" s="78">
        <f t="shared" si="18"/>
        <v>0.93610000000000004</v>
      </c>
      <c r="L37" s="78">
        <f t="shared" si="18"/>
        <v>0</v>
      </c>
      <c r="M37" s="78">
        <f t="shared" si="18"/>
        <v>0</v>
      </c>
      <c r="N37" s="78">
        <f t="shared" si="18"/>
        <v>0</v>
      </c>
      <c r="O37" s="78">
        <f t="shared" si="18"/>
        <v>0</v>
      </c>
      <c r="P37" s="78">
        <f t="shared" si="18"/>
        <v>0</v>
      </c>
      <c r="Q37" s="78">
        <f t="shared" si="18"/>
        <v>0</v>
      </c>
      <c r="R37" s="78">
        <f t="shared" si="18"/>
        <v>0</v>
      </c>
      <c r="S37" s="78">
        <f t="shared" si="18"/>
        <v>0</v>
      </c>
      <c r="T37" s="78">
        <f t="shared" si="18"/>
        <v>0</v>
      </c>
      <c r="U37" s="78">
        <f t="shared" si="18"/>
        <v>0</v>
      </c>
      <c r="V37" s="78">
        <f t="shared" si="18"/>
        <v>0</v>
      </c>
      <c r="W37" s="78">
        <f t="shared" si="18"/>
        <v>0</v>
      </c>
      <c r="X37" s="79">
        <f t="shared" si="18"/>
        <v>0</v>
      </c>
      <c r="Y37" s="1"/>
      <c r="Z37" s="89" t="s">
        <v>102</v>
      </c>
      <c r="AA37" s="9" t="s">
        <v>93</v>
      </c>
      <c r="AB37" s="78">
        <v>1</v>
      </c>
      <c r="AC37" s="78">
        <f>H13</f>
        <v>0.98189499999999996</v>
      </c>
      <c r="AD37" s="78">
        <f t="shared" ref="AD37:AR37" si="19">I13</f>
        <v>0.96033999999999986</v>
      </c>
      <c r="AE37" s="78">
        <f t="shared" si="19"/>
        <v>0.93924999999999992</v>
      </c>
      <c r="AF37" s="78">
        <f t="shared" si="19"/>
        <v>0</v>
      </c>
      <c r="AG37" s="78">
        <f t="shared" si="19"/>
        <v>0</v>
      </c>
      <c r="AH37" s="78">
        <f t="shared" si="19"/>
        <v>0</v>
      </c>
      <c r="AI37" s="78">
        <f t="shared" si="19"/>
        <v>0</v>
      </c>
      <c r="AJ37" s="78">
        <f t="shared" si="19"/>
        <v>0</v>
      </c>
      <c r="AK37" s="78">
        <f t="shared" si="19"/>
        <v>0</v>
      </c>
      <c r="AL37" s="78">
        <f t="shared" si="19"/>
        <v>0</v>
      </c>
      <c r="AM37" s="78">
        <f t="shared" si="19"/>
        <v>0</v>
      </c>
      <c r="AN37" s="78">
        <f t="shared" si="19"/>
        <v>0</v>
      </c>
      <c r="AO37" s="78">
        <f t="shared" si="19"/>
        <v>0</v>
      </c>
      <c r="AP37" s="78">
        <f t="shared" si="19"/>
        <v>0</v>
      </c>
      <c r="AQ37" s="78">
        <f t="shared" si="19"/>
        <v>0</v>
      </c>
      <c r="AR37" s="79">
        <f t="shared" si="19"/>
        <v>0</v>
      </c>
      <c r="AS37" s="1"/>
      <c r="AT37" s="1"/>
      <c r="AU37" s="1"/>
      <c r="AV37" s="1"/>
      <c r="AW37" s="1"/>
      <c r="AX37" s="1"/>
      <c r="AY37" s="1"/>
      <c r="AZ37" s="1"/>
      <c r="BA37" s="1"/>
    </row>
    <row r="38" spans="1:53" x14ac:dyDescent="0.25">
      <c r="A38" s="1"/>
      <c r="B38" s="1"/>
      <c r="C38" s="1"/>
      <c r="D38" s="1"/>
      <c r="E38" s="1"/>
      <c r="F38" s="5" t="s">
        <v>94</v>
      </c>
      <c r="G38" s="77">
        <v>1</v>
      </c>
      <c r="H38" s="53">
        <f>G27</f>
        <v>0</v>
      </c>
      <c r="I38" s="53">
        <f>H8</f>
        <v>0.5</v>
      </c>
      <c r="J38" s="53">
        <f t="shared" ref="J38:X38" si="20">I8</f>
        <v>1</v>
      </c>
      <c r="K38" s="53">
        <f t="shared" si="20"/>
        <v>1.5</v>
      </c>
      <c r="L38" s="53">
        <f t="shared" si="20"/>
        <v>2</v>
      </c>
      <c r="M38" s="53">
        <f t="shared" si="20"/>
        <v>2.5</v>
      </c>
      <c r="N38" s="53">
        <f t="shared" si="20"/>
        <v>3</v>
      </c>
      <c r="O38" s="53">
        <f t="shared" si="20"/>
        <v>3.5</v>
      </c>
      <c r="P38" s="53">
        <f t="shared" si="20"/>
        <v>4</v>
      </c>
      <c r="Q38" s="53">
        <f t="shared" si="20"/>
        <v>4.5</v>
      </c>
      <c r="R38" s="53">
        <f t="shared" si="20"/>
        <v>5</v>
      </c>
      <c r="S38" s="53">
        <f t="shared" si="20"/>
        <v>5.5</v>
      </c>
      <c r="T38" s="53">
        <f t="shared" si="20"/>
        <v>6</v>
      </c>
      <c r="U38" s="53">
        <f t="shared" si="20"/>
        <v>6.5</v>
      </c>
      <c r="V38" s="53">
        <f t="shared" si="20"/>
        <v>7</v>
      </c>
      <c r="W38" s="53">
        <f t="shared" si="20"/>
        <v>7.5</v>
      </c>
      <c r="X38" s="54">
        <f t="shared" si="20"/>
        <v>8</v>
      </c>
      <c r="Y38" s="1"/>
      <c r="Z38" s="5" t="s">
        <v>94</v>
      </c>
      <c r="AA38" s="77">
        <v>1</v>
      </c>
      <c r="AB38" s="53">
        <f>AA27</f>
        <v>0</v>
      </c>
      <c r="AC38" s="53">
        <f>AC17</f>
        <v>0.5</v>
      </c>
      <c r="AD38" s="53">
        <f t="shared" ref="AD38:AR38" si="21">AD17</f>
        <v>1</v>
      </c>
      <c r="AE38" s="53">
        <f t="shared" si="21"/>
        <v>1.5</v>
      </c>
      <c r="AF38" s="53">
        <f t="shared" si="21"/>
        <v>2</v>
      </c>
      <c r="AG38" s="53">
        <f t="shared" si="21"/>
        <v>2.5</v>
      </c>
      <c r="AH38" s="53">
        <f t="shared" si="21"/>
        <v>3</v>
      </c>
      <c r="AI38" s="53">
        <f t="shared" si="21"/>
        <v>3.5</v>
      </c>
      <c r="AJ38" s="53">
        <f t="shared" si="21"/>
        <v>4</v>
      </c>
      <c r="AK38" s="53">
        <f t="shared" si="21"/>
        <v>4.5</v>
      </c>
      <c r="AL38" s="53">
        <f t="shared" si="21"/>
        <v>5</v>
      </c>
      <c r="AM38" s="53">
        <f t="shared" si="21"/>
        <v>5.5</v>
      </c>
      <c r="AN38" s="53">
        <f t="shared" si="21"/>
        <v>6</v>
      </c>
      <c r="AO38" s="53">
        <f t="shared" si="21"/>
        <v>6.5</v>
      </c>
      <c r="AP38" s="53">
        <f t="shared" si="21"/>
        <v>7</v>
      </c>
      <c r="AQ38" s="53">
        <f t="shared" si="21"/>
        <v>7.5</v>
      </c>
      <c r="AR38" s="54">
        <f t="shared" si="21"/>
        <v>8</v>
      </c>
      <c r="AS38" s="1"/>
      <c r="AT38" s="1"/>
      <c r="AU38" s="1"/>
      <c r="AV38" s="1"/>
      <c r="AW38" s="1"/>
      <c r="AX38" s="1"/>
      <c r="AY38" s="1"/>
      <c r="AZ38" s="1"/>
      <c r="BA38" s="1"/>
    </row>
    <row r="39" spans="1:53" x14ac:dyDescent="0.25">
      <c r="A39" s="1"/>
      <c r="B39" s="1"/>
      <c r="C39" s="1"/>
      <c r="D39" s="1"/>
      <c r="E39" s="1"/>
      <c r="F39" s="11"/>
      <c r="G39" s="77">
        <f t="array" ref="G39:G54">TRANSPOSE(H9:W9)</f>
        <v>0.97870000000000001</v>
      </c>
      <c r="H39" s="53">
        <f t="array" ref="H39:H54">TRANSPOSE($I$17:$X$17)</f>
        <v>0.5</v>
      </c>
      <c r="I39" s="83"/>
      <c r="J39" s="87"/>
      <c r="K39" s="87"/>
      <c r="L39" s="87"/>
      <c r="M39" s="87"/>
      <c r="N39" s="87"/>
      <c r="O39" s="87"/>
      <c r="P39" s="87"/>
      <c r="Q39" s="87"/>
      <c r="R39" s="87"/>
      <c r="S39" s="87"/>
      <c r="T39" s="87"/>
      <c r="U39" s="87"/>
      <c r="V39" s="87"/>
      <c r="W39" s="87"/>
      <c r="X39" s="88"/>
      <c r="Y39" s="1"/>
      <c r="Z39" s="11"/>
      <c r="AA39" s="77">
        <f t="array" ref="AA39:AA54">TRANSPOSE(H13:W13)</f>
        <v>0.98189499999999996</v>
      </c>
      <c r="AB39" s="53">
        <f t="array" ref="AB39:AB54">TRANSPOSE($I$17:$X$17)</f>
        <v>0.5</v>
      </c>
      <c r="AC39" s="83"/>
      <c r="AD39" s="87"/>
      <c r="AE39" s="87"/>
      <c r="AF39" s="87"/>
      <c r="AG39" s="87"/>
      <c r="AH39" s="87"/>
      <c r="AI39" s="87"/>
      <c r="AJ39" s="87"/>
      <c r="AK39" s="87"/>
      <c r="AL39" s="87"/>
      <c r="AM39" s="87"/>
      <c r="AN39" s="87"/>
      <c r="AO39" s="87"/>
      <c r="AP39" s="87"/>
      <c r="AQ39" s="87"/>
      <c r="AR39" s="88"/>
      <c r="AS39" s="1"/>
      <c r="AT39" s="1"/>
      <c r="AU39" s="1"/>
      <c r="AV39" s="1"/>
      <c r="AW39" s="1"/>
      <c r="AX39" s="1"/>
      <c r="AY39" s="1"/>
      <c r="AZ39" s="1"/>
      <c r="BA39" s="1"/>
    </row>
    <row r="40" spans="1:53" x14ac:dyDescent="0.25">
      <c r="A40" s="1"/>
      <c r="B40" s="1"/>
      <c r="C40" s="1"/>
      <c r="D40" s="1"/>
      <c r="E40" s="1"/>
      <c r="F40" s="5"/>
      <c r="G40" s="77">
        <v>0.95709999999999995</v>
      </c>
      <c r="H40" s="53">
        <v>1</v>
      </c>
      <c r="I40" s="81">
        <f>IF(I19&gt;0, IF(TYPE($G$35)=1, $G$35 * ((I19^(-1/($G$35*($H40-I$38))))-1), -(LN(I19)/($H40-I$38))), 0)</f>
        <v>4.513634938877864E-2</v>
      </c>
      <c r="J40" s="84"/>
      <c r="K40" s="84"/>
      <c r="L40" s="84"/>
      <c r="M40" s="84"/>
      <c r="N40" s="84"/>
      <c r="O40" s="84"/>
      <c r="P40" s="84"/>
      <c r="Q40" s="84"/>
      <c r="R40" s="84"/>
      <c r="S40" s="84"/>
      <c r="T40" s="84"/>
      <c r="U40" s="84"/>
      <c r="V40" s="84"/>
      <c r="W40" s="84"/>
      <c r="X40" s="85"/>
      <c r="Y40" s="1"/>
      <c r="Z40" s="5"/>
      <c r="AA40" s="77">
        <v>0.96033999999999986</v>
      </c>
      <c r="AB40" s="53">
        <v>1</v>
      </c>
      <c r="AC40" s="81">
        <f>IF(AC19&gt;0, IF(TYPE($G$35)=1, $G$35 * ((AC19^(-1/($G$35*($AB40-AC$38))))-1), -(LN(AC19)/($AB40-AC$38))), 0)</f>
        <v>4.4890351333902956E-2</v>
      </c>
      <c r="AD40" s="84"/>
      <c r="AE40" s="84"/>
      <c r="AF40" s="84"/>
      <c r="AG40" s="84"/>
      <c r="AH40" s="84"/>
      <c r="AI40" s="84"/>
      <c r="AJ40" s="84"/>
      <c r="AK40" s="84"/>
      <c r="AL40" s="84"/>
      <c r="AM40" s="84"/>
      <c r="AN40" s="84"/>
      <c r="AO40" s="84"/>
      <c r="AP40" s="84"/>
      <c r="AQ40" s="84"/>
      <c r="AR40" s="85"/>
      <c r="AS40" s="1"/>
      <c r="AT40" s="1"/>
      <c r="AU40" s="1"/>
      <c r="AV40" s="1"/>
      <c r="AW40" s="1"/>
      <c r="AX40" s="1"/>
      <c r="AY40" s="1"/>
      <c r="AZ40" s="1"/>
      <c r="BA40" s="1"/>
    </row>
    <row r="41" spans="1:53" x14ac:dyDescent="0.25">
      <c r="A41" s="1"/>
      <c r="B41" s="1"/>
      <c r="C41" s="1"/>
      <c r="D41" s="1"/>
      <c r="E41" s="1"/>
      <c r="F41" s="11"/>
      <c r="G41" s="77">
        <v>0.93610000000000004</v>
      </c>
      <c r="H41" s="53">
        <v>1.5</v>
      </c>
      <c r="I41" s="81">
        <f t="shared" ref="I41:W54" si="22">IF(I20&gt;0, IF(TYPE($G$35)=1, $G$35 * ((I20^(-1/($G$35*($H41-I$38))))-1), -(LN(I20)/($H41-I$38))), 0)</f>
        <v>4.500167095426777E-2</v>
      </c>
      <c r="J41" s="81">
        <f t="shared" si="22"/>
        <v>4.4867001388740224E-2</v>
      </c>
      <c r="K41" s="84"/>
      <c r="L41" s="84"/>
      <c r="M41" s="84"/>
      <c r="N41" s="84"/>
      <c r="O41" s="84"/>
      <c r="P41" s="84"/>
      <c r="Q41" s="84"/>
      <c r="R41" s="84"/>
      <c r="S41" s="84"/>
      <c r="T41" s="84"/>
      <c r="U41" s="84"/>
      <c r="V41" s="84"/>
      <c r="W41" s="84"/>
      <c r="X41" s="85"/>
      <c r="Y41" s="1"/>
      <c r="Z41" s="11"/>
      <c r="AA41" s="77">
        <v>0.93924999999999992</v>
      </c>
      <c r="AB41" s="53">
        <v>1.5</v>
      </c>
      <c r="AC41" s="81">
        <f t="shared" ref="AC41:AC54" si="23">IF(AC20&gt;0, IF(TYPE($G$35)=1, $G$35 * ((AC20^(-1/($G$35*($AB41-AC$38))))-1), -(LN(AC20)/($AB41-AC$38))), 0)</f>
        <v>4.4899261354220954E-2</v>
      </c>
      <c r="AD41" s="81">
        <f t="shared" ref="AD41:AQ54" si="24">IF(AD20&gt;0, IF(TYPE($G$35)=1, $G$35 * ((AD20^(-1/($G$35*($H41-AD$38))))-1), -(LN(AD20)/($H41-AD$38))), 0)</f>
        <v>4.4908171413361675E-2</v>
      </c>
      <c r="AE41" s="84"/>
      <c r="AF41" s="84"/>
      <c r="AG41" s="84"/>
      <c r="AH41" s="84"/>
      <c r="AI41" s="84"/>
      <c r="AJ41" s="84"/>
      <c r="AK41" s="84"/>
      <c r="AL41" s="84"/>
      <c r="AM41" s="84"/>
      <c r="AN41" s="84"/>
      <c r="AO41" s="84"/>
      <c r="AP41" s="84"/>
      <c r="AQ41" s="84"/>
      <c r="AR41" s="85"/>
      <c r="AS41" s="1"/>
      <c r="AT41" s="1"/>
      <c r="AU41" s="1"/>
      <c r="AV41" s="1"/>
      <c r="AW41" s="1"/>
      <c r="AX41" s="1"/>
      <c r="AY41" s="1"/>
      <c r="AZ41" s="1"/>
      <c r="BA41" s="1"/>
    </row>
    <row r="42" spans="1:53" x14ac:dyDescent="0.25">
      <c r="A42" s="1"/>
      <c r="B42" s="1"/>
      <c r="C42" s="1"/>
      <c r="D42" s="1"/>
      <c r="E42" s="1"/>
      <c r="F42" s="11"/>
      <c r="G42" s="77">
        <v>0</v>
      </c>
      <c r="H42" s="53">
        <v>2</v>
      </c>
      <c r="I42" s="81">
        <f t="shared" si="22"/>
        <v>0</v>
      </c>
      <c r="J42" s="81">
        <f t="shared" si="22"/>
        <v>0</v>
      </c>
      <c r="K42" s="81">
        <f t="shared" si="22"/>
        <v>0</v>
      </c>
      <c r="L42" s="84"/>
      <c r="M42" s="84"/>
      <c r="N42" s="84"/>
      <c r="O42" s="84"/>
      <c r="P42" s="84"/>
      <c r="Q42" s="84"/>
      <c r="R42" s="84"/>
      <c r="S42" s="84"/>
      <c r="T42" s="84"/>
      <c r="U42" s="84"/>
      <c r="V42" s="84"/>
      <c r="W42" s="84"/>
      <c r="X42" s="85"/>
      <c r="Y42" s="1"/>
      <c r="Z42" s="11"/>
      <c r="AA42" s="77">
        <v>0</v>
      </c>
      <c r="AB42" s="53">
        <v>2</v>
      </c>
      <c r="AC42" s="81">
        <f t="shared" si="23"/>
        <v>0</v>
      </c>
      <c r="AD42" s="81">
        <f t="shared" si="24"/>
        <v>0</v>
      </c>
      <c r="AE42" s="81">
        <f t="shared" si="24"/>
        <v>0</v>
      </c>
      <c r="AF42" s="84"/>
      <c r="AG42" s="84"/>
      <c r="AH42" s="84"/>
      <c r="AI42" s="84"/>
      <c r="AJ42" s="84"/>
      <c r="AK42" s="84"/>
      <c r="AL42" s="84"/>
      <c r="AM42" s="84"/>
      <c r="AN42" s="84"/>
      <c r="AO42" s="84"/>
      <c r="AP42" s="84"/>
      <c r="AQ42" s="84"/>
      <c r="AR42" s="85"/>
      <c r="AS42" s="1"/>
      <c r="AT42" s="1"/>
      <c r="AU42" s="1"/>
      <c r="AV42" s="1"/>
      <c r="AW42" s="1"/>
      <c r="AX42" s="1"/>
      <c r="AY42" s="1"/>
      <c r="AZ42" s="1"/>
      <c r="BA42" s="1"/>
    </row>
    <row r="43" spans="1:53" x14ac:dyDescent="0.25">
      <c r="A43" s="1"/>
      <c r="B43" s="1"/>
      <c r="C43" s="1"/>
      <c r="D43" s="1"/>
      <c r="E43" s="1"/>
      <c r="F43" s="11"/>
      <c r="G43" s="77">
        <v>0</v>
      </c>
      <c r="H43" s="53">
        <v>2.5</v>
      </c>
      <c r="I43" s="81">
        <f t="shared" si="22"/>
        <v>0</v>
      </c>
      <c r="J43" s="81">
        <f t="shared" si="22"/>
        <v>0</v>
      </c>
      <c r="K43" s="81">
        <f t="shared" si="22"/>
        <v>0</v>
      </c>
      <c r="L43" s="81">
        <f t="shared" si="22"/>
        <v>0</v>
      </c>
      <c r="M43" s="84"/>
      <c r="N43" s="84"/>
      <c r="O43" s="84"/>
      <c r="P43" s="84"/>
      <c r="Q43" s="84"/>
      <c r="R43" s="84"/>
      <c r="S43" s="84"/>
      <c r="T43" s="84"/>
      <c r="U43" s="84"/>
      <c r="V43" s="84"/>
      <c r="W43" s="84"/>
      <c r="X43" s="85"/>
      <c r="Y43" s="1"/>
      <c r="Z43" s="11"/>
      <c r="AA43" s="77">
        <v>0</v>
      </c>
      <c r="AB43" s="53">
        <v>2.5</v>
      </c>
      <c r="AC43" s="81">
        <f t="shared" si="23"/>
        <v>0</v>
      </c>
      <c r="AD43" s="81">
        <f t="shared" si="24"/>
        <v>0</v>
      </c>
      <c r="AE43" s="81">
        <f t="shared" si="24"/>
        <v>0</v>
      </c>
      <c r="AF43" s="81">
        <f t="shared" si="24"/>
        <v>0</v>
      </c>
      <c r="AG43" s="84"/>
      <c r="AH43" s="84"/>
      <c r="AI43" s="84"/>
      <c r="AJ43" s="84"/>
      <c r="AK43" s="84"/>
      <c r="AL43" s="84"/>
      <c r="AM43" s="84"/>
      <c r="AN43" s="84"/>
      <c r="AO43" s="84"/>
      <c r="AP43" s="84"/>
      <c r="AQ43" s="84"/>
      <c r="AR43" s="85"/>
      <c r="AS43" s="1"/>
      <c r="AT43" s="1"/>
      <c r="AU43" s="1"/>
      <c r="AV43" s="1"/>
      <c r="AW43" s="1"/>
      <c r="AX43" s="1"/>
      <c r="AY43" s="1"/>
      <c r="AZ43" s="1"/>
      <c r="BA43" s="1"/>
    </row>
    <row r="44" spans="1:53" x14ac:dyDescent="0.25">
      <c r="A44" s="1"/>
      <c r="B44" s="1"/>
      <c r="C44" s="1"/>
      <c r="D44" s="1"/>
      <c r="E44" s="1"/>
      <c r="F44" s="11"/>
      <c r="G44" s="77">
        <v>0</v>
      </c>
      <c r="H44" s="53">
        <v>3</v>
      </c>
      <c r="I44" s="81">
        <f t="shared" si="22"/>
        <v>0</v>
      </c>
      <c r="J44" s="81">
        <f t="shared" si="22"/>
        <v>0</v>
      </c>
      <c r="K44" s="81">
        <f t="shared" si="22"/>
        <v>0</v>
      </c>
      <c r="L44" s="81">
        <f t="shared" si="22"/>
        <v>0</v>
      </c>
      <c r="M44" s="81">
        <f t="shared" si="22"/>
        <v>0</v>
      </c>
      <c r="N44" s="84"/>
      <c r="O44" s="84"/>
      <c r="P44" s="84"/>
      <c r="Q44" s="84"/>
      <c r="R44" s="84"/>
      <c r="S44" s="84"/>
      <c r="T44" s="84"/>
      <c r="U44" s="84"/>
      <c r="V44" s="84"/>
      <c r="W44" s="84"/>
      <c r="X44" s="85"/>
      <c r="Y44" s="1"/>
      <c r="Z44" s="11"/>
      <c r="AA44" s="77">
        <v>0</v>
      </c>
      <c r="AB44" s="53">
        <v>3</v>
      </c>
      <c r="AC44" s="81">
        <f t="shared" si="23"/>
        <v>0</v>
      </c>
      <c r="AD44" s="81">
        <f t="shared" si="24"/>
        <v>0</v>
      </c>
      <c r="AE44" s="81">
        <f t="shared" si="24"/>
        <v>0</v>
      </c>
      <c r="AF44" s="81">
        <f t="shared" si="24"/>
        <v>0</v>
      </c>
      <c r="AG44" s="81">
        <f t="shared" si="24"/>
        <v>0</v>
      </c>
      <c r="AH44" s="84"/>
      <c r="AI44" s="84"/>
      <c r="AJ44" s="84"/>
      <c r="AK44" s="84"/>
      <c r="AL44" s="84"/>
      <c r="AM44" s="84"/>
      <c r="AN44" s="84"/>
      <c r="AO44" s="84"/>
      <c r="AP44" s="84"/>
      <c r="AQ44" s="84"/>
      <c r="AR44" s="85"/>
      <c r="AS44" s="1"/>
      <c r="AT44" s="1"/>
      <c r="AU44" s="1"/>
      <c r="AV44" s="1"/>
      <c r="AW44" s="1"/>
      <c r="AX44" s="1"/>
      <c r="AY44" s="1"/>
      <c r="AZ44" s="1"/>
      <c r="BA44" s="1"/>
    </row>
    <row r="45" spans="1:53" x14ac:dyDescent="0.25">
      <c r="A45" s="1"/>
      <c r="B45" s="1"/>
      <c r="C45" s="1"/>
      <c r="D45" s="1"/>
      <c r="E45" s="1"/>
      <c r="F45" s="11"/>
      <c r="G45" s="77">
        <v>0</v>
      </c>
      <c r="H45" s="53">
        <v>3.5</v>
      </c>
      <c r="I45" s="81">
        <f t="shared" si="22"/>
        <v>0</v>
      </c>
      <c r="J45" s="81">
        <f t="shared" si="22"/>
        <v>0</v>
      </c>
      <c r="K45" s="81">
        <f t="shared" si="22"/>
        <v>0</v>
      </c>
      <c r="L45" s="81">
        <f t="shared" si="22"/>
        <v>0</v>
      </c>
      <c r="M45" s="81">
        <f t="shared" si="22"/>
        <v>0</v>
      </c>
      <c r="N45" s="81">
        <f t="shared" si="22"/>
        <v>0</v>
      </c>
      <c r="O45" s="84"/>
      <c r="P45" s="84"/>
      <c r="Q45" s="84"/>
      <c r="R45" s="84"/>
      <c r="S45" s="84"/>
      <c r="T45" s="84"/>
      <c r="U45" s="84"/>
      <c r="V45" s="84"/>
      <c r="W45" s="84"/>
      <c r="X45" s="85"/>
      <c r="Y45" s="1"/>
      <c r="Z45" s="11"/>
      <c r="AA45" s="77">
        <v>0</v>
      </c>
      <c r="AB45" s="53">
        <v>3.5</v>
      </c>
      <c r="AC45" s="81">
        <f t="shared" si="23"/>
        <v>0</v>
      </c>
      <c r="AD45" s="81">
        <f t="shared" si="24"/>
        <v>0</v>
      </c>
      <c r="AE45" s="81">
        <f t="shared" si="24"/>
        <v>0</v>
      </c>
      <c r="AF45" s="81">
        <f t="shared" si="24"/>
        <v>0</v>
      </c>
      <c r="AG45" s="81">
        <f t="shared" si="24"/>
        <v>0</v>
      </c>
      <c r="AH45" s="81">
        <f t="shared" si="24"/>
        <v>0</v>
      </c>
      <c r="AI45" s="84"/>
      <c r="AJ45" s="84"/>
      <c r="AK45" s="84"/>
      <c r="AL45" s="84"/>
      <c r="AM45" s="84"/>
      <c r="AN45" s="84"/>
      <c r="AO45" s="84"/>
      <c r="AP45" s="84"/>
      <c r="AQ45" s="84"/>
      <c r="AR45" s="85"/>
      <c r="AS45" s="1"/>
      <c r="AT45" s="1"/>
      <c r="AU45" s="1"/>
      <c r="AV45" s="1"/>
      <c r="AW45" s="1"/>
      <c r="AX45" s="1"/>
      <c r="AY45" s="1"/>
      <c r="AZ45" s="1"/>
      <c r="BA45" s="1"/>
    </row>
    <row r="46" spans="1:53" x14ac:dyDescent="0.25">
      <c r="A46" s="1"/>
      <c r="B46" s="1"/>
      <c r="C46" s="1"/>
      <c r="D46" s="1"/>
      <c r="E46" s="1"/>
      <c r="F46" s="11"/>
      <c r="G46" s="77">
        <v>0</v>
      </c>
      <c r="H46" s="53">
        <v>4</v>
      </c>
      <c r="I46" s="81">
        <f t="shared" si="22"/>
        <v>0</v>
      </c>
      <c r="J46" s="81">
        <f t="shared" si="22"/>
        <v>0</v>
      </c>
      <c r="K46" s="81">
        <f t="shared" si="22"/>
        <v>0</v>
      </c>
      <c r="L46" s="81">
        <f t="shared" si="22"/>
        <v>0</v>
      </c>
      <c r="M46" s="81">
        <f t="shared" si="22"/>
        <v>0</v>
      </c>
      <c r="N46" s="81">
        <f t="shared" si="22"/>
        <v>0</v>
      </c>
      <c r="O46" s="81">
        <f t="shared" si="22"/>
        <v>0</v>
      </c>
      <c r="P46" s="84"/>
      <c r="Q46" s="84"/>
      <c r="R46" s="84"/>
      <c r="S46" s="84"/>
      <c r="T46" s="84"/>
      <c r="U46" s="84"/>
      <c r="V46" s="84"/>
      <c r="W46" s="84"/>
      <c r="X46" s="85"/>
      <c r="Y46" s="1"/>
      <c r="Z46" s="11"/>
      <c r="AA46" s="77">
        <v>0</v>
      </c>
      <c r="AB46" s="53">
        <v>4</v>
      </c>
      <c r="AC46" s="81">
        <f t="shared" si="23"/>
        <v>0</v>
      </c>
      <c r="AD46" s="81">
        <f t="shared" si="24"/>
        <v>0</v>
      </c>
      <c r="AE46" s="81">
        <f t="shared" si="24"/>
        <v>0</v>
      </c>
      <c r="AF46" s="81">
        <f t="shared" si="24"/>
        <v>0</v>
      </c>
      <c r="AG46" s="81">
        <f t="shared" si="24"/>
        <v>0</v>
      </c>
      <c r="AH46" s="81">
        <f t="shared" si="24"/>
        <v>0</v>
      </c>
      <c r="AI46" s="81">
        <f t="shared" si="24"/>
        <v>0</v>
      </c>
      <c r="AJ46" s="84"/>
      <c r="AK46" s="84"/>
      <c r="AL46" s="84"/>
      <c r="AM46" s="84"/>
      <c r="AN46" s="84"/>
      <c r="AO46" s="84"/>
      <c r="AP46" s="84"/>
      <c r="AQ46" s="84"/>
      <c r="AR46" s="85"/>
      <c r="AS46" s="1"/>
      <c r="AT46" s="1"/>
      <c r="AU46" s="1"/>
      <c r="AV46" s="1"/>
      <c r="AW46" s="1"/>
      <c r="AX46" s="1"/>
      <c r="AY46" s="1"/>
      <c r="AZ46" s="1"/>
      <c r="BA46" s="1"/>
    </row>
    <row r="47" spans="1:53" x14ac:dyDescent="0.25">
      <c r="A47" s="1"/>
      <c r="B47" s="1"/>
      <c r="C47" s="1"/>
      <c r="D47" s="1"/>
      <c r="E47" s="1"/>
      <c r="F47" s="11"/>
      <c r="G47" s="77">
        <v>0</v>
      </c>
      <c r="H47" s="53">
        <v>4.5</v>
      </c>
      <c r="I47" s="81">
        <f t="shared" si="22"/>
        <v>0</v>
      </c>
      <c r="J47" s="81">
        <f t="shared" si="22"/>
        <v>0</v>
      </c>
      <c r="K47" s="81">
        <f t="shared" si="22"/>
        <v>0</v>
      </c>
      <c r="L47" s="81">
        <f t="shared" si="22"/>
        <v>0</v>
      </c>
      <c r="M47" s="81">
        <f t="shared" si="22"/>
        <v>0</v>
      </c>
      <c r="N47" s="81">
        <f t="shared" si="22"/>
        <v>0</v>
      </c>
      <c r="O47" s="81">
        <f t="shared" si="22"/>
        <v>0</v>
      </c>
      <c r="P47" s="81">
        <f t="shared" si="22"/>
        <v>0</v>
      </c>
      <c r="Q47" s="84"/>
      <c r="R47" s="84"/>
      <c r="S47" s="84"/>
      <c r="T47" s="84"/>
      <c r="U47" s="84"/>
      <c r="V47" s="84"/>
      <c r="W47" s="84"/>
      <c r="X47" s="85"/>
      <c r="Y47" s="1"/>
      <c r="Z47" s="11"/>
      <c r="AA47" s="77">
        <v>0</v>
      </c>
      <c r="AB47" s="53">
        <v>4.5</v>
      </c>
      <c r="AC47" s="81">
        <f t="shared" si="23"/>
        <v>0</v>
      </c>
      <c r="AD47" s="81">
        <f t="shared" si="24"/>
        <v>0</v>
      </c>
      <c r="AE47" s="81">
        <f t="shared" si="24"/>
        <v>0</v>
      </c>
      <c r="AF47" s="81">
        <f t="shared" si="24"/>
        <v>0</v>
      </c>
      <c r="AG47" s="81">
        <f t="shared" si="24"/>
        <v>0</v>
      </c>
      <c r="AH47" s="81">
        <f t="shared" si="24"/>
        <v>0</v>
      </c>
      <c r="AI47" s="81">
        <f t="shared" si="24"/>
        <v>0</v>
      </c>
      <c r="AJ47" s="81">
        <f t="shared" si="24"/>
        <v>0</v>
      </c>
      <c r="AK47" s="84"/>
      <c r="AL47" s="84"/>
      <c r="AM47" s="84"/>
      <c r="AN47" s="84"/>
      <c r="AO47" s="84"/>
      <c r="AP47" s="84"/>
      <c r="AQ47" s="84"/>
      <c r="AR47" s="85"/>
      <c r="AS47" s="1"/>
      <c r="AT47" s="1"/>
      <c r="AU47" s="1"/>
      <c r="AV47" s="1"/>
      <c r="AW47" s="1"/>
      <c r="AX47" s="1"/>
      <c r="AY47" s="1"/>
      <c r="AZ47" s="1"/>
      <c r="BA47" s="1"/>
    </row>
    <row r="48" spans="1:53" x14ac:dyDescent="0.25">
      <c r="A48" s="1"/>
      <c r="B48" s="1"/>
      <c r="C48" s="1"/>
      <c r="D48" s="1"/>
      <c r="E48" s="1"/>
      <c r="F48" s="11"/>
      <c r="G48" s="77">
        <v>0</v>
      </c>
      <c r="H48" s="53">
        <v>5</v>
      </c>
      <c r="I48" s="81">
        <f t="shared" si="22"/>
        <v>0</v>
      </c>
      <c r="J48" s="81">
        <f t="shared" si="22"/>
        <v>0</v>
      </c>
      <c r="K48" s="81">
        <f t="shared" si="22"/>
        <v>0</v>
      </c>
      <c r="L48" s="81">
        <f t="shared" si="22"/>
        <v>0</v>
      </c>
      <c r="M48" s="81">
        <f t="shared" si="22"/>
        <v>0</v>
      </c>
      <c r="N48" s="81">
        <f t="shared" si="22"/>
        <v>0</v>
      </c>
      <c r="O48" s="81">
        <f t="shared" si="22"/>
        <v>0</v>
      </c>
      <c r="P48" s="81">
        <f t="shared" si="22"/>
        <v>0</v>
      </c>
      <c r="Q48" s="81">
        <f t="shared" si="22"/>
        <v>0</v>
      </c>
      <c r="R48" s="84"/>
      <c r="S48" s="84"/>
      <c r="T48" s="84"/>
      <c r="U48" s="84"/>
      <c r="V48" s="84"/>
      <c r="W48" s="84"/>
      <c r="X48" s="85"/>
      <c r="Y48" s="1"/>
      <c r="Z48" s="11"/>
      <c r="AA48" s="77">
        <v>0</v>
      </c>
      <c r="AB48" s="53">
        <v>5</v>
      </c>
      <c r="AC48" s="81">
        <f t="shared" si="23"/>
        <v>0</v>
      </c>
      <c r="AD48" s="81">
        <f t="shared" si="24"/>
        <v>0</v>
      </c>
      <c r="AE48" s="81">
        <f t="shared" si="24"/>
        <v>0</v>
      </c>
      <c r="AF48" s="81">
        <f t="shared" si="24"/>
        <v>0</v>
      </c>
      <c r="AG48" s="81">
        <f t="shared" si="24"/>
        <v>0</v>
      </c>
      <c r="AH48" s="81">
        <f t="shared" si="24"/>
        <v>0</v>
      </c>
      <c r="AI48" s="81">
        <f t="shared" si="24"/>
        <v>0</v>
      </c>
      <c r="AJ48" s="81">
        <f t="shared" si="24"/>
        <v>0</v>
      </c>
      <c r="AK48" s="81">
        <f t="shared" si="24"/>
        <v>0</v>
      </c>
      <c r="AL48" s="84"/>
      <c r="AM48" s="84"/>
      <c r="AN48" s="84"/>
      <c r="AO48" s="84"/>
      <c r="AP48" s="84"/>
      <c r="AQ48" s="84"/>
      <c r="AR48" s="85"/>
      <c r="AS48" s="1"/>
      <c r="AT48" s="1"/>
      <c r="AU48" s="1"/>
      <c r="AV48" s="1"/>
      <c r="AW48" s="1"/>
      <c r="AX48" s="1"/>
      <c r="AY48" s="1"/>
      <c r="AZ48" s="1"/>
      <c r="BA48" s="1"/>
    </row>
    <row r="49" spans="1:53" x14ac:dyDescent="0.25">
      <c r="A49" s="1"/>
      <c r="B49" s="1"/>
      <c r="C49" s="1"/>
      <c r="D49" s="1"/>
      <c r="E49" s="1"/>
      <c r="F49" s="11"/>
      <c r="G49" s="77">
        <v>0</v>
      </c>
      <c r="H49" s="53">
        <v>5.5</v>
      </c>
      <c r="I49" s="81">
        <f t="shared" si="22"/>
        <v>0</v>
      </c>
      <c r="J49" s="81">
        <f t="shared" si="22"/>
        <v>0</v>
      </c>
      <c r="K49" s="81">
        <f t="shared" si="22"/>
        <v>0</v>
      </c>
      <c r="L49" s="81">
        <f t="shared" si="22"/>
        <v>0</v>
      </c>
      <c r="M49" s="81">
        <f t="shared" si="22"/>
        <v>0</v>
      </c>
      <c r="N49" s="81">
        <f t="shared" si="22"/>
        <v>0</v>
      </c>
      <c r="O49" s="81">
        <f t="shared" si="22"/>
        <v>0</v>
      </c>
      <c r="P49" s="81">
        <f t="shared" si="22"/>
        <v>0</v>
      </c>
      <c r="Q49" s="81">
        <f t="shared" si="22"/>
        <v>0</v>
      </c>
      <c r="R49" s="81">
        <f t="shared" si="22"/>
        <v>0</v>
      </c>
      <c r="S49" s="84"/>
      <c r="T49" s="84"/>
      <c r="U49" s="84"/>
      <c r="V49" s="84"/>
      <c r="W49" s="84"/>
      <c r="X49" s="85"/>
      <c r="Y49" s="1"/>
      <c r="Z49" s="11"/>
      <c r="AA49" s="77">
        <v>0</v>
      </c>
      <c r="AB49" s="53">
        <v>5.5</v>
      </c>
      <c r="AC49" s="81">
        <f t="shared" si="23"/>
        <v>0</v>
      </c>
      <c r="AD49" s="81">
        <f t="shared" si="24"/>
        <v>0</v>
      </c>
      <c r="AE49" s="81">
        <f t="shared" si="24"/>
        <v>0</v>
      </c>
      <c r="AF49" s="81">
        <f t="shared" si="24"/>
        <v>0</v>
      </c>
      <c r="AG49" s="81">
        <f t="shared" si="24"/>
        <v>0</v>
      </c>
      <c r="AH49" s="81">
        <f t="shared" si="24"/>
        <v>0</v>
      </c>
      <c r="AI49" s="81">
        <f t="shared" si="24"/>
        <v>0</v>
      </c>
      <c r="AJ49" s="81">
        <f t="shared" si="24"/>
        <v>0</v>
      </c>
      <c r="AK49" s="81">
        <f t="shared" si="24"/>
        <v>0</v>
      </c>
      <c r="AL49" s="81">
        <f t="shared" si="24"/>
        <v>0</v>
      </c>
      <c r="AM49" s="84"/>
      <c r="AN49" s="84"/>
      <c r="AO49" s="84"/>
      <c r="AP49" s="84"/>
      <c r="AQ49" s="84"/>
      <c r="AR49" s="85"/>
      <c r="AS49" s="1"/>
      <c r="AT49" s="1"/>
      <c r="AU49" s="1"/>
      <c r="AV49" s="1"/>
      <c r="AW49" s="1"/>
      <c r="AX49" s="1"/>
      <c r="AY49" s="1"/>
      <c r="AZ49" s="1"/>
      <c r="BA49" s="1"/>
    </row>
    <row r="50" spans="1:53" x14ac:dyDescent="0.25">
      <c r="A50" s="1"/>
      <c r="B50" s="1"/>
      <c r="C50" s="1"/>
      <c r="D50" s="1"/>
      <c r="E50" s="1"/>
      <c r="F50" s="11"/>
      <c r="G50" s="77">
        <v>0</v>
      </c>
      <c r="H50" s="53">
        <v>6</v>
      </c>
      <c r="I50" s="81">
        <f t="shared" si="22"/>
        <v>0</v>
      </c>
      <c r="J50" s="81">
        <f t="shared" si="22"/>
        <v>0</v>
      </c>
      <c r="K50" s="81">
        <f t="shared" si="22"/>
        <v>0</v>
      </c>
      <c r="L50" s="81">
        <f t="shared" si="22"/>
        <v>0</v>
      </c>
      <c r="M50" s="81">
        <f t="shared" si="22"/>
        <v>0</v>
      </c>
      <c r="N50" s="81">
        <f t="shared" si="22"/>
        <v>0</v>
      </c>
      <c r="O50" s="81">
        <f t="shared" si="22"/>
        <v>0</v>
      </c>
      <c r="P50" s="81">
        <f t="shared" si="22"/>
        <v>0</v>
      </c>
      <c r="Q50" s="81">
        <f t="shared" si="22"/>
        <v>0</v>
      </c>
      <c r="R50" s="81">
        <f t="shared" si="22"/>
        <v>0</v>
      </c>
      <c r="S50" s="81">
        <f t="shared" si="22"/>
        <v>0</v>
      </c>
      <c r="T50" s="84"/>
      <c r="U50" s="84"/>
      <c r="V50" s="84"/>
      <c r="W50" s="84"/>
      <c r="X50" s="85"/>
      <c r="Y50" s="1"/>
      <c r="Z50" s="11"/>
      <c r="AA50" s="77">
        <v>0</v>
      </c>
      <c r="AB50" s="53">
        <v>6</v>
      </c>
      <c r="AC50" s="81">
        <f t="shared" si="23"/>
        <v>0</v>
      </c>
      <c r="AD50" s="81">
        <f t="shared" si="24"/>
        <v>0</v>
      </c>
      <c r="AE50" s="81">
        <f t="shared" si="24"/>
        <v>0</v>
      </c>
      <c r="AF50" s="81">
        <f t="shared" si="24"/>
        <v>0</v>
      </c>
      <c r="AG50" s="81">
        <f t="shared" si="24"/>
        <v>0</v>
      </c>
      <c r="AH50" s="81">
        <f t="shared" si="24"/>
        <v>0</v>
      </c>
      <c r="AI50" s="81">
        <f t="shared" si="24"/>
        <v>0</v>
      </c>
      <c r="AJ50" s="81">
        <f t="shared" si="24"/>
        <v>0</v>
      </c>
      <c r="AK50" s="81">
        <f t="shared" si="24"/>
        <v>0</v>
      </c>
      <c r="AL50" s="81">
        <f t="shared" si="24"/>
        <v>0</v>
      </c>
      <c r="AM50" s="81">
        <f t="shared" si="24"/>
        <v>0</v>
      </c>
      <c r="AN50" s="84"/>
      <c r="AO50" s="84"/>
      <c r="AP50" s="84"/>
      <c r="AQ50" s="84"/>
      <c r="AR50" s="85"/>
      <c r="AS50" s="1"/>
      <c r="AT50" s="1"/>
      <c r="AU50" s="1"/>
      <c r="AV50" s="1"/>
      <c r="AW50" s="1"/>
      <c r="AX50" s="1"/>
      <c r="AY50" s="1"/>
      <c r="AZ50" s="1"/>
      <c r="BA50" s="1"/>
    </row>
    <row r="51" spans="1:53" x14ac:dyDescent="0.25">
      <c r="A51" s="1"/>
      <c r="B51" s="1"/>
      <c r="C51" s="1"/>
      <c r="D51" s="1"/>
      <c r="E51" s="1"/>
      <c r="F51" s="11"/>
      <c r="G51" s="77">
        <v>0</v>
      </c>
      <c r="H51" s="53">
        <v>6.5</v>
      </c>
      <c r="I51" s="81">
        <f t="shared" si="22"/>
        <v>0</v>
      </c>
      <c r="J51" s="81">
        <f t="shared" si="22"/>
        <v>0</v>
      </c>
      <c r="K51" s="81">
        <f t="shared" si="22"/>
        <v>0</v>
      </c>
      <c r="L51" s="81">
        <f t="shared" si="22"/>
        <v>0</v>
      </c>
      <c r="M51" s="81">
        <f t="shared" si="22"/>
        <v>0</v>
      </c>
      <c r="N51" s="81">
        <f t="shared" si="22"/>
        <v>0</v>
      </c>
      <c r="O51" s="81">
        <f t="shared" si="22"/>
        <v>0</v>
      </c>
      <c r="P51" s="81">
        <f t="shared" si="22"/>
        <v>0</v>
      </c>
      <c r="Q51" s="81">
        <f t="shared" si="22"/>
        <v>0</v>
      </c>
      <c r="R51" s="81">
        <f t="shared" si="22"/>
        <v>0</v>
      </c>
      <c r="S51" s="81">
        <f t="shared" si="22"/>
        <v>0</v>
      </c>
      <c r="T51" s="81">
        <f t="shared" si="22"/>
        <v>0</v>
      </c>
      <c r="U51" s="84"/>
      <c r="V51" s="84"/>
      <c r="W51" s="84"/>
      <c r="X51" s="85"/>
      <c r="Y51" s="1"/>
      <c r="Z51" s="11"/>
      <c r="AA51" s="77">
        <v>0</v>
      </c>
      <c r="AB51" s="53">
        <v>6.5</v>
      </c>
      <c r="AC51" s="81">
        <f t="shared" si="23"/>
        <v>0</v>
      </c>
      <c r="AD51" s="81">
        <f t="shared" si="24"/>
        <v>0</v>
      </c>
      <c r="AE51" s="81">
        <f t="shared" si="24"/>
        <v>0</v>
      </c>
      <c r="AF51" s="81">
        <f t="shared" si="24"/>
        <v>0</v>
      </c>
      <c r="AG51" s="81">
        <f t="shared" si="24"/>
        <v>0</v>
      </c>
      <c r="AH51" s="81">
        <f t="shared" si="24"/>
        <v>0</v>
      </c>
      <c r="AI51" s="81">
        <f t="shared" si="24"/>
        <v>0</v>
      </c>
      <c r="AJ51" s="81">
        <f t="shared" si="24"/>
        <v>0</v>
      </c>
      <c r="AK51" s="81">
        <f t="shared" si="24"/>
        <v>0</v>
      </c>
      <c r="AL51" s="81">
        <f t="shared" si="24"/>
        <v>0</v>
      </c>
      <c r="AM51" s="81">
        <f t="shared" si="24"/>
        <v>0</v>
      </c>
      <c r="AN51" s="81">
        <f t="shared" si="24"/>
        <v>0</v>
      </c>
      <c r="AO51" s="84"/>
      <c r="AP51" s="84"/>
      <c r="AQ51" s="84"/>
      <c r="AR51" s="85"/>
      <c r="AS51" s="1"/>
      <c r="AT51" s="1"/>
      <c r="AU51" s="1"/>
      <c r="AV51" s="1"/>
      <c r="AW51" s="1"/>
      <c r="AX51" s="1"/>
      <c r="AY51" s="1"/>
      <c r="AZ51" s="1"/>
      <c r="BA51" s="1"/>
    </row>
    <row r="52" spans="1:53" x14ac:dyDescent="0.25">
      <c r="A52" s="1"/>
      <c r="B52" s="1"/>
      <c r="C52" s="1"/>
      <c r="D52" s="1"/>
      <c r="E52" s="1"/>
      <c r="F52" s="11"/>
      <c r="G52" s="77">
        <v>0</v>
      </c>
      <c r="H52" s="53">
        <v>7</v>
      </c>
      <c r="I52" s="81">
        <f t="shared" si="22"/>
        <v>0</v>
      </c>
      <c r="J52" s="81">
        <f t="shared" si="22"/>
        <v>0</v>
      </c>
      <c r="K52" s="81">
        <f t="shared" si="22"/>
        <v>0</v>
      </c>
      <c r="L52" s="81">
        <f t="shared" si="22"/>
        <v>0</v>
      </c>
      <c r="M52" s="81">
        <f t="shared" si="22"/>
        <v>0</v>
      </c>
      <c r="N52" s="81">
        <f t="shared" si="22"/>
        <v>0</v>
      </c>
      <c r="O52" s="81">
        <f t="shared" si="22"/>
        <v>0</v>
      </c>
      <c r="P52" s="81">
        <f t="shared" si="22"/>
        <v>0</v>
      </c>
      <c r="Q52" s="81">
        <f t="shared" si="22"/>
        <v>0</v>
      </c>
      <c r="R52" s="81">
        <f t="shared" si="22"/>
        <v>0</v>
      </c>
      <c r="S52" s="81">
        <f t="shared" si="22"/>
        <v>0</v>
      </c>
      <c r="T52" s="81">
        <f t="shared" si="22"/>
        <v>0</v>
      </c>
      <c r="U52" s="81">
        <f t="shared" si="22"/>
        <v>0</v>
      </c>
      <c r="V52" s="84"/>
      <c r="W52" s="84"/>
      <c r="X52" s="85"/>
      <c r="Y52" s="1"/>
      <c r="Z52" s="11"/>
      <c r="AA52" s="77">
        <v>0</v>
      </c>
      <c r="AB52" s="53">
        <v>7</v>
      </c>
      <c r="AC52" s="81">
        <f t="shared" si="23"/>
        <v>0</v>
      </c>
      <c r="AD52" s="81">
        <f t="shared" si="24"/>
        <v>0</v>
      </c>
      <c r="AE52" s="81">
        <f t="shared" si="24"/>
        <v>0</v>
      </c>
      <c r="AF52" s="81">
        <f t="shared" si="24"/>
        <v>0</v>
      </c>
      <c r="AG52" s="81">
        <f t="shared" si="24"/>
        <v>0</v>
      </c>
      <c r="AH52" s="81">
        <f t="shared" si="24"/>
        <v>0</v>
      </c>
      <c r="AI52" s="81">
        <f t="shared" si="24"/>
        <v>0</v>
      </c>
      <c r="AJ52" s="81">
        <f t="shared" si="24"/>
        <v>0</v>
      </c>
      <c r="AK52" s="81">
        <f t="shared" si="24"/>
        <v>0</v>
      </c>
      <c r="AL52" s="81">
        <f t="shared" si="24"/>
        <v>0</v>
      </c>
      <c r="AM52" s="81">
        <f t="shared" si="24"/>
        <v>0</v>
      </c>
      <c r="AN52" s="81">
        <f t="shared" si="24"/>
        <v>0</v>
      </c>
      <c r="AO52" s="81">
        <f t="shared" si="24"/>
        <v>0</v>
      </c>
      <c r="AP52" s="84"/>
      <c r="AQ52" s="84"/>
      <c r="AR52" s="85"/>
      <c r="AS52" s="1"/>
      <c r="AT52" s="1"/>
      <c r="AU52" s="1"/>
      <c r="AV52" s="1"/>
      <c r="AW52" s="1"/>
      <c r="AX52" s="1"/>
      <c r="AY52" s="1"/>
      <c r="AZ52" s="1"/>
      <c r="BA52" s="1"/>
    </row>
    <row r="53" spans="1:53" x14ac:dyDescent="0.25">
      <c r="A53" s="1"/>
      <c r="B53" s="1"/>
      <c r="C53" s="1"/>
      <c r="D53" s="1"/>
      <c r="E53" s="1"/>
      <c r="F53" s="11"/>
      <c r="G53" s="77">
        <v>0</v>
      </c>
      <c r="H53" s="53">
        <v>7.5</v>
      </c>
      <c r="I53" s="81">
        <f t="shared" si="22"/>
        <v>0</v>
      </c>
      <c r="J53" s="81">
        <f t="shared" si="22"/>
        <v>0</v>
      </c>
      <c r="K53" s="81">
        <f t="shared" si="22"/>
        <v>0</v>
      </c>
      <c r="L53" s="81">
        <f t="shared" si="22"/>
        <v>0</v>
      </c>
      <c r="M53" s="81">
        <f t="shared" si="22"/>
        <v>0</v>
      </c>
      <c r="N53" s="81">
        <f t="shared" si="22"/>
        <v>0</v>
      </c>
      <c r="O53" s="81">
        <f t="shared" si="22"/>
        <v>0</v>
      </c>
      <c r="P53" s="81">
        <f t="shared" si="22"/>
        <v>0</v>
      </c>
      <c r="Q53" s="81">
        <f t="shared" si="22"/>
        <v>0</v>
      </c>
      <c r="R53" s="81">
        <f t="shared" si="22"/>
        <v>0</v>
      </c>
      <c r="S53" s="81">
        <f t="shared" si="22"/>
        <v>0</v>
      </c>
      <c r="T53" s="81">
        <f t="shared" si="22"/>
        <v>0</v>
      </c>
      <c r="U53" s="81">
        <f t="shared" si="22"/>
        <v>0</v>
      </c>
      <c r="V53" s="81">
        <f t="shared" si="22"/>
        <v>0</v>
      </c>
      <c r="W53" s="84"/>
      <c r="X53" s="85"/>
      <c r="Y53" s="1"/>
      <c r="Z53" s="11"/>
      <c r="AA53" s="77">
        <v>0</v>
      </c>
      <c r="AB53" s="53">
        <v>7.5</v>
      </c>
      <c r="AC53" s="81">
        <f t="shared" si="23"/>
        <v>0</v>
      </c>
      <c r="AD53" s="81">
        <f t="shared" si="24"/>
        <v>0</v>
      </c>
      <c r="AE53" s="81">
        <f t="shared" si="24"/>
        <v>0</v>
      </c>
      <c r="AF53" s="81">
        <f t="shared" si="24"/>
        <v>0</v>
      </c>
      <c r="AG53" s="81">
        <f t="shared" si="24"/>
        <v>0</v>
      </c>
      <c r="AH53" s="81">
        <f t="shared" si="24"/>
        <v>0</v>
      </c>
      <c r="AI53" s="81">
        <f t="shared" si="24"/>
        <v>0</v>
      </c>
      <c r="AJ53" s="81">
        <f t="shared" si="24"/>
        <v>0</v>
      </c>
      <c r="AK53" s="81">
        <f t="shared" si="24"/>
        <v>0</v>
      </c>
      <c r="AL53" s="81">
        <f t="shared" si="24"/>
        <v>0</v>
      </c>
      <c r="AM53" s="81">
        <f t="shared" si="24"/>
        <v>0</v>
      </c>
      <c r="AN53" s="81">
        <f t="shared" si="24"/>
        <v>0</v>
      </c>
      <c r="AO53" s="81">
        <f t="shared" si="24"/>
        <v>0</v>
      </c>
      <c r="AP53" s="81">
        <f t="shared" si="24"/>
        <v>0</v>
      </c>
      <c r="AQ53" s="84"/>
      <c r="AR53" s="85"/>
      <c r="AS53" s="1"/>
      <c r="AT53" s="1"/>
      <c r="AU53" s="1"/>
      <c r="AV53" s="1"/>
      <c r="AW53" s="1"/>
      <c r="AX53" s="1"/>
      <c r="AY53" s="1"/>
      <c r="AZ53" s="1"/>
      <c r="BA53" s="1"/>
    </row>
    <row r="54" spans="1:53" ht="15.75" thickBot="1" x14ac:dyDescent="0.3">
      <c r="A54" s="1"/>
      <c r="B54" s="1"/>
      <c r="C54" s="1"/>
      <c r="D54" s="1"/>
      <c r="E54" s="1"/>
      <c r="F54" s="13"/>
      <c r="G54" s="80">
        <v>0</v>
      </c>
      <c r="H54" s="56">
        <v>8</v>
      </c>
      <c r="I54" s="82">
        <f t="shared" si="22"/>
        <v>0</v>
      </c>
      <c r="J54" s="82">
        <f t="shared" si="22"/>
        <v>0</v>
      </c>
      <c r="K54" s="82">
        <f t="shared" si="22"/>
        <v>0</v>
      </c>
      <c r="L54" s="82">
        <f t="shared" si="22"/>
        <v>0</v>
      </c>
      <c r="M54" s="82">
        <f t="shared" si="22"/>
        <v>0</v>
      </c>
      <c r="N54" s="82">
        <f t="shared" si="22"/>
        <v>0</v>
      </c>
      <c r="O54" s="82">
        <f t="shared" si="22"/>
        <v>0</v>
      </c>
      <c r="P54" s="82">
        <f t="shared" si="22"/>
        <v>0</v>
      </c>
      <c r="Q54" s="82">
        <f t="shared" si="22"/>
        <v>0</v>
      </c>
      <c r="R54" s="82">
        <f t="shared" si="22"/>
        <v>0</v>
      </c>
      <c r="S54" s="82">
        <f t="shared" si="22"/>
        <v>0</v>
      </c>
      <c r="T54" s="82">
        <f t="shared" si="22"/>
        <v>0</v>
      </c>
      <c r="U54" s="82">
        <f t="shared" si="22"/>
        <v>0</v>
      </c>
      <c r="V54" s="82">
        <f t="shared" si="22"/>
        <v>0</v>
      </c>
      <c r="W54" s="82">
        <f t="shared" si="22"/>
        <v>0</v>
      </c>
      <c r="X54" s="86"/>
      <c r="Y54" s="1"/>
      <c r="Z54" s="13"/>
      <c r="AA54" s="80">
        <v>0</v>
      </c>
      <c r="AB54" s="56">
        <v>8</v>
      </c>
      <c r="AC54" s="82">
        <f t="shared" si="23"/>
        <v>0</v>
      </c>
      <c r="AD54" s="82">
        <f t="shared" si="24"/>
        <v>0</v>
      </c>
      <c r="AE54" s="82">
        <f t="shared" si="24"/>
        <v>0</v>
      </c>
      <c r="AF54" s="82">
        <f t="shared" si="24"/>
        <v>0</v>
      </c>
      <c r="AG54" s="82">
        <f t="shared" si="24"/>
        <v>0</v>
      </c>
      <c r="AH54" s="82">
        <f t="shared" si="24"/>
        <v>0</v>
      </c>
      <c r="AI54" s="82">
        <f t="shared" si="24"/>
        <v>0</v>
      </c>
      <c r="AJ54" s="82">
        <f t="shared" si="24"/>
        <v>0</v>
      </c>
      <c r="AK54" s="82">
        <f t="shared" si="24"/>
        <v>0</v>
      </c>
      <c r="AL54" s="82">
        <f t="shared" si="24"/>
        <v>0</v>
      </c>
      <c r="AM54" s="82">
        <f t="shared" si="24"/>
        <v>0</v>
      </c>
      <c r="AN54" s="82">
        <f t="shared" si="24"/>
        <v>0</v>
      </c>
      <c r="AO54" s="82">
        <f t="shared" si="24"/>
        <v>0</v>
      </c>
      <c r="AP54" s="82">
        <f t="shared" si="24"/>
        <v>0</v>
      </c>
      <c r="AQ54" s="82">
        <f t="shared" si="24"/>
        <v>0</v>
      </c>
      <c r="AR54" s="86"/>
      <c r="AS54" s="1"/>
      <c r="AT54" s="1"/>
      <c r="AU54" s="1"/>
      <c r="AV54" s="1"/>
      <c r="AW54" s="1"/>
      <c r="AX54" s="1"/>
      <c r="AY54" s="1"/>
      <c r="AZ54" s="1"/>
      <c r="BA54" s="1"/>
    </row>
    <row r="55" spans="1:53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</row>
    <row r="56" spans="1:53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</row>
    <row r="57" spans="1:53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</row>
    <row r="58" spans="1:53" ht="29.25" thickBot="1" x14ac:dyDescent="0.5">
      <c r="A58" s="1"/>
      <c r="B58" s="1"/>
      <c r="C58" s="1"/>
      <c r="D58" s="1"/>
      <c r="E58" s="1"/>
      <c r="F58" s="133" t="s">
        <v>160</v>
      </c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</row>
    <row r="59" spans="1:53" x14ac:dyDescent="0.25">
      <c r="A59" s="1"/>
      <c r="B59" s="1"/>
      <c r="C59" s="1"/>
      <c r="D59" s="1"/>
      <c r="E59" s="1"/>
      <c r="F59" s="49" t="s">
        <v>149</v>
      </c>
      <c r="G59" s="9"/>
      <c r="H59" s="50">
        <f>H8</f>
        <v>0.5</v>
      </c>
      <c r="I59" s="50">
        <f t="shared" ref="I59:W59" si="25">I8</f>
        <v>1</v>
      </c>
      <c r="J59" s="50">
        <f t="shared" si="25"/>
        <v>1.5</v>
      </c>
      <c r="K59" s="50">
        <f t="shared" si="25"/>
        <v>2</v>
      </c>
      <c r="L59" s="50">
        <f t="shared" si="25"/>
        <v>2.5</v>
      </c>
      <c r="M59" s="50">
        <f t="shared" si="25"/>
        <v>3</v>
      </c>
      <c r="N59" s="50">
        <f t="shared" si="25"/>
        <v>3.5</v>
      </c>
      <c r="O59" s="50">
        <f t="shared" si="25"/>
        <v>4</v>
      </c>
      <c r="P59" s="50">
        <f t="shared" si="25"/>
        <v>4.5</v>
      </c>
      <c r="Q59" s="50">
        <f t="shared" si="25"/>
        <v>5</v>
      </c>
      <c r="R59" s="50">
        <f t="shared" si="25"/>
        <v>5.5</v>
      </c>
      <c r="S59" s="50">
        <f t="shared" si="25"/>
        <v>6</v>
      </c>
      <c r="T59" s="50">
        <f t="shared" si="25"/>
        <v>6.5</v>
      </c>
      <c r="U59" s="50">
        <f t="shared" si="25"/>
        <v>7</v>
      </c>
      <c r="V59" s="50">
        <f t="shared" si="25"/>
        <v>7.5</v>
      </c>
      <c r="W59" s="51">
        <f t="shared" si="25"/>
        <v>8</v>
      </c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</row>
    <row r="60" spans="1:53" x14ac:dyDescent="0.25">
      <c r="A60" s="1"/>
      <c r="B60" s="1"/>
      <c r="C60" s="1"/>
      <c r="D60" s="1"/>
      <c r="E60" s="1"/>
      <c r="F60" s="52" t="s">
        <v>21</v>
      </c>
      <c r="G60" s="1"/>
      <c r="H60" s="53">
        <v>1</v>
      </c>
      <c r="I60" s="53">
        <v>2</v>
      </c>
      <c r="J60" s="53">
        <v>3</v>
      </c>
      <c r="K60" s="53">
        <v>4</v>
      </c>
      <c r="L60" s="53">
        <v>5</v>
      </c>
      <c r="M60" s="53">
        <v>6</v>
      </c>
      <c r="N60" s="53">
        <v>7</v>
      </c>
      <c r="O60" s="53">
        <v>8</v>
      </c>
      <c r="P60" s="53">
        <v>9</v>
      </c>
      <c r="Q60" s="53">
        <v>10</v>
      </c>
      <c r="R60" s="53">
        <v>11</v>
      </c>
      <c r="S60" s="53">
        <v>12</v>
      </c>
      <c r="T60" s="53">
        <v>13</v>
      </c>
      <c r="U60" s="53">
        <v>14</v>
      </c>
      <c r="V60" s="53">
        <v>15</v>
      </c>
      <c r="W60" s="54">
        <v>16</v>
      </c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</row>
    <row r="61" spans="1:53" x14ac:dyDescent="0.25">
      <c r="A61" s="1"/>
      <c r="B61" s="1"/>
      <c r="C61" s="1"/>
      <c r="D61" s="1"/>
      <c r="E61" s="1"/>
      <c r="F61" s="52" t="s">
        <v>5</v>
      </c>
      <c r="H61" s="53">
        <f>IF(AND($D$17&lt;=H$59, H$59&lt;=$D$18),$D$7,0)</f>
        <v>0</v>
      </c>
      <c r="I61" s="53">
        <f>IF(AND($D$17&lt;=I$59, I$59&lt;=$D$18),$D$7,0)</f>
        <v>5000000</v>
      </c>
      <c r="J61" s="53">
        <f t="shared" ref="J61:W61" si="26">IF(AND($D$17&lt;=J$59, J$59&lt;=$D$18),$D$7,0)</f>
        <v>5000000</v>
      </c>
      <c r="K61" s="53">
        <f t="shared" si="26"/>
        <v>5000000</v>
      </c>
      <c r="L61" s="53">
        <f t="shared" si="26"/>
        <v>0</v>
      </c>
      <c r="M61" s="53">
        <f t="shared" si="26"/>
        <v>0</v>
      </c>
      <c r="N61" s="53">
        <f t="shared" si="26"/>
        <v>0</v>
      </c>
      <c r="O61" s="53">
        <f t="shared" si="26"/>
        <v>0</v>
      </c>
      <c r="P61" s="53">
        <f t="shared" si="26"/>
        <v>0</v>
      </c>
      <c r="Q61" s="53">
        <f t="shared" si="26"/>
        <v>0</v>
      </c>
      <c r="R61" s="53">
        <f t="shared" si="26"/>
        <v>0</v>
      </c>
      <c r="S61" s="53">
        <f t="shared" si="26"/>
        <v>0</v>
      </c>
      <c r="T61" s="53">
        <f t="shared" si="26"/>
        <v>0</v>
      </c>
      <c r="U61" s="53">
        <f t="shared" si="26"/>
        <v>0</v>
      </c>
      <c r="V61" s="53">
        <f t="shared" si="26"/>
        <v>0</v>
      </c>
      <c r="W61" s="54">
        <f t="shared" si="26"/>
        <v>0</v>
      </c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</row>
    <row r="62" spans="1:53" x14ac:dyDescent="0.25">
      <c r="A62" s="1"/>
      <c r="B62" s="1"/>
      <c r="C62" s="1"/>
      <c r="D62" s="1"/>
      <c r="E62" s="1"/>
      <c r="F62" s="52" t="s">
        <v>20</v>
      </c>
      <c r="G62" s="1"/>
      <c r="H62" s="53">
        <f>IF(AND($D$17&lt;=H$59, H$59&lt;=$D$18),$D$9,0)</f>
        <v>0</v>
      </c>
      <c r="I62" s="53">
        <f t="shared" ref="I62:W62" si="27">IF(AND($D$17&lt;=I$59, I$59&lt;=$D$18),$D$9,0)</f>
        <v>0.5</v>
      </c>
      <c r="J62" s="53">
        <f t="shared" si="27"/>
        <v>0.5</v>
      </c>
      <c r="K62" s="53">
        <f t="shared" si="27"/>
        <v>0.5</v>
      </c>
      <c r="L62" s="53">
        <f t="shared" si="27"/>
        <v>0</v>
      </c>
      <c r="M62" s="53">
        <f t="shared" si="27"/>
        <v>0</v>
      </c>
      <c r="N62" s="53">
        <f t="shared" si="27"/>
        <v>0</v>
      </c>
      <c r="O62" s="53">
        <f t="shared" si="27"/>
        <v>0</v>
      </c>
      <c r="P62" s="53">
        <f t="shared" si="27"/>
        <v>0</v>
      </c>
      <c r="Q62" s="53">
        <f t="shared" si="27"/>
        <v>0</v>
      </c>
      <c r="R62" s="53">
        <f t="shared" si="27"/>
        <v>0</v>
      </c>
      <c r="S62" s="53">
        <f t="shared" si="27"/>
        <v>0</v>
      </c>
      <c r="T62" s="53">
        <f t="shared" si="27"/>
        <v>0</v>
      </c>
      <c r="U62" s="53">
        <f t="shared" si="27"/>
        <v>0</v>
      </c>
      <c r="V62" s="53">
        <f t="shared" si="27"/>
        <v>0</v>
      </c>
      <c r="W62" s="54">
        <f t="shared" si="27"/>
        <v>0</v>
      </c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</row>
    <row r="63" spans="1:53" x14ac:dyDescent="0.25">
      <c r="A63" s="1"/>
      <c r="B63" s="1"/>
      <c r="C63" s="1"/>
      <c r="D63" s="1"/>
      <c r="E63" s="1"/>
      <c r="F63" s="52" t="s">
        <v>9</v>
      </c>
      <c r="G63" s="1"/>
      <c r="H63" s="53">
        <f>IF(AND($D$17&lt;=H$59, H$59&lt;=$D$18),$D$8,0)</f>
        <v>0</v>
      </c>
      <c r="I63" s="53">
        <f t="shared" ref="I63:W63" si="28">IF(AND($D$17&lt;=I$59, I$59&lt;=$D$18),$D$8,0)</f>
        <v>2</v>
      </c>
      <c r="J63" s="53">
        <f t="shared" si="28"/>
        <v>2</v>
      </c>
      <c r="K63" s="53">
        <f t="shared" si="28"/>
        <v>2</v>
      </c>
      <c r="L63" s="53">
        <f t="shared" si="28"/>
        <v>0</v>
      </c>
      <c r="M63" s="53">
        <f t="shared" si="28"/>
        <v>0</v>
      </c>
      <c r="N63" s="53">
        <f t="shared" si="28"/>
        <v>0</v>
      </c>
      <c r="O63" s="53">
        <f t="shared" si="28"/>
        <v>0</v>
      </c>
      <c r="P63" s="53">
        <f t="shared" si="28"/>
        <v>0</v>
      </c>
      <c r="Q63" s="53">
        <f t="shared" si="28"/>
        <v>0</v>
      </c>
      <c r="R63" s="53">
        <f t="shared" si="28"/>
        <v>0</v>
      </c>
      <c r="S63" s="53">
        <f t="shared" si="28"/>
        <v>0</v>
      </c>
      <c r="T63" s="53">
        <f t="shared" si="28"/>
        <v>0</v>
      </c>
      <c r="U63" s="53">
        <f t="shared" si="28"/>
        <v>0</v>
      </c>
      <c r="V63" s="53">
        <f t="shared" si="28"/>
        <v>0</v>
      </c>
      <c r="W63" s="54">
        <f t="shared" si="28"/>
        <v>0</v>
      </c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</row>
    <row r="64" spans="1:53" x14ac:dyDescent="0.25">
      <c r="A64" s="1"/>
      <c r="B64" s="1"/>
      <c r="C64" s="1"/>
      <c r="D64" s="1"/>
      <c r="E64" s="1"/>
      <c r="F64" s="52" t="s">
        <v>161</v>
      </c>
      <c r="G64" s="1"/>
      <c r="H64" s="53">
        <f>IF(AND($D$17&lt;=H$59, H$59&lt;=$D$18),$D$11,0)</f>
        <v>0</v>
      </c>
      <c r="I64" s="53">
        <f t="shared" ref="I64:W64" si="29">IF(AND($D$17&lt;=I$59, I$59&lt;=$D$18),$D$11,0)</f>
        <v>2.8572761453836453E-2</v>
      </c>
      <c r="J64" s="53">
        <f t="shared" si="29"/>
        <v>2.8572761453836453E-2</v>
      </c>
      <c r="K64" s="53">
        <f t="shared" si="29"/>
        <v>2.8572761453836453E-2</v>
      </c>
      <c r="L64" s="53">
        <f t="shared" si="29"/>
        <v>0</v>
      </c>
      <c r="M64" s="53">
        <f t="shared" si="29"/>
        <v>0</v>
      </c>
      <c r="N64" s="53">
        <f t="shared" si="29"/>
        <v>0</v>
      </c>
      <c r="O64" s="53">
        <f t="shared" si="29"/>
        <v>0</v>
      </c>
      <c r="P64" s="53">
        <f t="shared" si="29"/>
        <v>0</v>
      </c>
      <c r="Q64" s="53">
        <f t="shared" si="29"/>
        <v>0</v>
      </c>
      <c r="R64" s="53">
        <f t="shared" si="29"/>
        <v>0</v>
      </c>
      <c r="S64" s="53">
        <f t="shared" si="29"/>
        <v>0</v>
      </c>
      <c r="T64" s="53">
        <f t="shared" si="29"/>
        <v>0</v>
      </c>
      <c r="U64" s="53">
        <f t="shared" si="29"/>
        <v>0</v>
      </c>
      <c r="V64" s="53">
        <f t="shared" si="29"/>
        <v>0</v>
      </c>
      <c r="W64" s="54">
        <f t="shared" si="29"/>
        <v>0</v>
      </c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</row>
    <row r="65" spans="1:53" x14ac:dyDescent="0.25">
      <c r="A65" s="1"/>
      <c r="B65" s="1"/>
      <c r="C65" s="1"/>
      <c r="D65" s="1"/>
      <c r="E65" s="1"/>
      <c r="F65" s="52" t="s">
        <v>176</v>
      </c>
      <c r="G65" s="1"/>
      <c r="H65" s="53">
        <f>IF(AND($D$17&lt;=H$59, H$59&lt;=$D$18), $H$8, 0)</f>
        <v>0</v>
      </c>
      <c r="I65" s="53">
        <f t="shared" ref="I65:W65" si="30">IF(AND($D$17&lt;=I$59, I$59&lt;=$D$18), $H$8, 0)</f>
        <v>0.5</v>
      </c>
      <c r="J65" s="53">
        <f t="shared" si="30"/>
        <v>0.5</v>
      </c>
      <c r="K65" s="53">
        <f t="shared" si="30"/>
        <v>0.5</v>
      </c>
      <c r="L65" s="53">
        <f t="shared" si="30"/>
        <v>0</v>
      </c>
      <c r="M65" s="53">
        <f t="shared" si="30"/>
        <v>0</v>
      </c>
      <c r="N65" s="53">
        <f t="shared" si="30"/>
        <v>0</v>
      </c>
      <c r="O65" s="53">
        <f t="shared" si="30"/>
        <v>0</v>
      </c>
      <c r="P65" s="53">
        <f t="shared" si="30"/>
        <v>0</v>
      </c>
      <c r="Q65" s="53">
        <f t="shared" si="30"/>
        <v>0</v>
      </c>
      <c r="R65" s="53">
        <f t="shared" si="30"/>
        <v>0</v>
      </c>
      <c r="S65" s="53">
        <f t="shared" si="30"/>
        <v>0</v>
      </c>
      <c r="T65" s="53">
        <f t="shared" si="30"/>
        <v>0</v>
      </c>
      <c r="U65" s="53">
        <f t="shared" si="30"/>
        <v>0</v>
      </c>
      <c r="V65" s="53">
        <f t="shared" si="30"/>
        <v>0</v>
      </c>
      <c r="W65" s="54">
        <f t="shared" si="30"/>
        <v>0</v>
      </c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</row>
    <row r="66" spans="1:53" ht="15.75" thickBot="1" x14ac:dyDescent="0.3">
      <c r="A66" s="1"/>
      <c r="B66" s="1"/>
      <c r="C66" s="1"/>
      <c r="D66" s="1"/>
      <c r="E66" s="1"/>
      <c r="F66" s="55" t="s">
        <v>163</v>
      </c>
      <c r="G66" s="14"/>
      <c r="H66" s="56">
        <f>IF(AND($D$17&lt;=H$59, H$59&lt;=$D$18), $D$10, 0)</f>
        <v>0</v>
      </c>
      <c r="I66" s="56">
        <f t="shared" ref="I66:W66" si="31">IF(AND($D$17&lt;=I$59, I$59&lt;=$D$18), $D$10, 0)</f>
        <v>0.12</v>
      </c>
      <c r="J66" s="56">
        <f t="shared" si="31"/>
        <v>0.12</v>
      </c>
      <c r="K66" s="56">
        <f t="shared" si="31"/>
        <v>0.12</v>
      </c>
      <c r="L66" s="56">
        <f t="shared" si="31"/>
        <v>0</v>
      </c>
      <c r="M66" s="56">
        <f t="shared" si="31"/>
        <v>0</v>
      </c>
      <c r="N66" s="56">
        <f t="shared" si="31"/>
        <v>0</v>
      </c>
      <c r="O66" s="56">
        <f t="shared" si="31"/>
        <v>0</v>
      </c>
      <c r="P66" s="56">
        <f t="shared" si="31"/>
        <v>0</v>
      </c>
      <c r="Q66" s="56">
        <f t="shared" si="31"/>
        <v>0</v>
      </c>
      <c r="R66" s="56">
        <f t="shared" si="31"/>
        <v>0</v>
      </c>
      <c r="S66" s="56">
        <f t="shared" si="31"/>
        <v>0</v>
      </c>
      <c r="T66" s="56">
        <f t="shared" si="31"/>
        <v>0</v>
      </c>
      <c r="U66" s="56">
        <f t="shared" si="31"/>
        <v>0</v>
      </c>
      <c r="V66" s="56">
        <f t="shared" si="31"/>
        <v>0</v>
      </c>
      <c r="W66" s="132">
        <f t="shared" si="31"/>
        <v>0</v>
      </c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</row>
    <row r="67" spans="1:53" ht="15.75" thickBot="1" x14ac:dyDescent="0.3">
      <c r="A67" s="1"/>
      <c r="B67" s="1"/>
      <c r="C67" s="1"/>
      <c r="D67" s="1"/>
      <c r="E67" s="1"/>
      <c r="F67" s="128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</row>
    <row r="68" spans="1:53" x14ac:dyDescent="0.25">
      <c r="A68" s="1"/>
      <c r="B68" s="1"/>
      <c r="C68" s="1"/>
      <c r="D68" s="1"/>
      <c r="E68" s="1"/>
      <c r="F68" s="49" t="s">
        <v>178</v>
      </c>
      <c r="G68" s="9"/>
      <c r="H68" s="50">
        <f>IF(AND(H59&gt;=$D$17, H59&lt;=$D$18), H13, 0)</f>
        <v>0</v>
      </c>
      <c r="I68" s="50">
        <f t="shared" ref="I68:W68" si="32">IF(AND(I59&gt;=$D$17, I59&lt;=$D$18), I13, 0)</f>
        <v>0.96033999999999986</v>
      </c>
      <c r="J68" s="50">
        <f t="shared" si="32"/>
        <v>0.93924999999999992</v>
      </c>
      <c r="K68" s="50">
        <f t="shared" si="32"/>
        <v>0</v>
      </c>
      <c r="L68" s="50">
        <f t="shared" si="32"/>
        <v>0</v>
      </c>
      <c r="M68" s="50">
        <f t="shared" si="32"/>
        <v>0</v>
      </c>
      <c r="N68" s="50">
        <f t="shared" si="32"/>
        <v>0</v>
      </c>
      <c r="O68" s="50">
        <f t="shared" si="32"/>
        <v>0</v>
      </c>
      <c r="P68" s="50">
        <f t="shared" si="32"/>
        <v>0</v>
      </c>
      <c r="Q68" s="50">
        <f t="shared" si="32"/>
        <v>0</v>
      </c>
      <c r="R68" s="50">
        <f t="shared" si="32"/>
        <v>0</v>
      </c>
      <c r="S68" s="50">
        <f t="shared" si="32"/>
        <v>0</v>
      </c>
      <c r="T68" s="50">
        <f t="shared" si="32"/>
        <v>0</v>
      </c>
      <c r="U68" s="50">
        <f t="shared" si="32"/>
        <v>0</v>
      </c>
      <c r="V68" s="50">
        <f t="shared" si="32"/>
        <v>0</v>
      </c>
      <c r="W68" s="51">
        <f t="shared" si="32"/>
        <v>0</v>
      </c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</row>
    <row r="69" spans="1:53" ht="15.75" thickBot="1" x14ac:dyDescent="0.3">
      <c r="A69" s="1"/>
      <c r="B69" s="1"/>
      <c r="C69" s="1"/>
      <c r="D69" s="1"/>
      <c r="E69" s="1"/>
      <c r="F69" s="55" t="s">
        <v>177</v>
      </c>
      <c r="G69" s="14"/>
      <c r="H69" s="56"/>
      <c r="I69" s="56">
        <f t="array" ref="I69:W69">TRANSPOSE(AC19:AC33)</f>
        <v>0.97804755090921114</v>
      </c>
      <c r="J69" s="56">
        <v>0.95656867587674843</v>
      </c>
      <c r="K69" s="56">
        <v>0</v>
      </c>
      <c r="L69" s="56">
        <v>0</v>
      </c>
      <c r="M69" s="56">
        <v>0</v>
      </c>
      <c r="N69" s="56">
        <v>0</v>
      </c>
      <c r="O69" s="56">
        <v>0</v>
      </c>
      <c r="P69" s="56">
        <v>0</v>
      </c>
      <c r="Q69" s="56">
        <v>0</v>
      </c>
      <c r="R69" s="56">
        <v>0</v>
      </c>
      <c r="S69" s="56">
        <v>0</v>
      </c>
      <c r="T69" s="56">
        <v>0</v>
      </c>
      <c r="U69" s="56">
        <v>0</v>
      </c>
      <c r="V69" s="56">
        <v>0</v>
      </c>
      <c r="W69" s="132">
        <v>0</v>
      </c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</row>
    <row r="70" spans="1:53" ht="15.75" thickBot="1" x14ac:dyDescent="0.3">
      <c r="A70" s="1"/>
      <c r="B70" s="1"/>
      <c r="C70" s="1"/>
      <c r="D70" s="1"/>
      <c r="E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</row>
    <row r="71" spans="1:53" x14ac:dyDescent="0.25">
      <c r="A71" s="1"/>
      <c r="B71" s="1"/>
      <c r="C71" s="1"/>
      <c r="D71" s="1"/>
      <c r="E71" s="1"/>
      <c r="F71" s="49" t="s">
        <v>180</v>
      </c>
      <c r="G71" s="9"/>
      <c r="H71" s="51" cm="1">
        <f t="array" ref="H71">LOOKUP(2,1/(I69:W69&lt;&gt;0),I69:W69)</f>
        <v>0.95656867587674843</v>
      </c>
      <c r="I71" s="1"/>
      <c r="J71" s="1"/>
      <c r="K71" s="1"/>
      <c r="L71" s="1"/>
      <c r="M71" s="1"/>
      <c r="N71" s="1"/>
      <c r="O71" s="1"/>
      <c r="P71" s="1"/>
      <c r="Q71" s="1"/>
      <c r="R71" s="8" t="s">
        <v>135</v>
      </c>
      <c r="S71" s="21">
        <v>10</v>
      </c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</row>
    <row r="72" spans="1:53" ht="15.75" thickBot="1" x14ac:dyDescent="0.3">
      <c r="A72" s="1"/>
      <c r="B72" s="1"/>
      <c r="C72" s="1"/>
      <c r="D72" s="1"/>
      <c r="E72" s="1"/>
      <c r="F72" s="136" t="s">
        <v>179</v>
      </c>
      <c r="G72" s="1"/>
      <c r="H72" s="54">
        <f>(1-H71)/($D$9*SUM(I69:W69))</f>
        <v>4.4899162450844771E-2</v>
      </c>
      <c r="I72" s="1"/>
      <c r="J72" s="137" t="s">
        <v>193</v>
      </c>
      <c r="K72" s="1"/>
      <c r="L72" s="1"/>
      <c r="M72" s="1"/>
      <c r="N72" s="1"/>
      <c r="O72" s="1"/>
      <c r="P72" s="1"/>
      <c r="Q72" s="1"/>
      <c r="R72" s="13" t="s">
        <v>161</v>
      </c>
      <c r="S72" s="132">
        <f>H72+S71/10000</f>
        <v>4.5899162450844772E-2</v>
      </c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</row>
    <row r="73" spans="1:53" ht="15.75" thickBot="1" x14ac:dyDescent="0.3">
      <c r="A73" s="1"/>
      <c r="B73" s="1"/>
      <c r="C73" s="1"/>
      <c r="D73" s="1"/>
      <c r="E73" s="1"/>
      <c r="F73" s="55" t="s">
        <v>181</v>
      </c>
      <c r="G73" s="14"/>
      <c r="H73" s="132">
        <f>SUM(H68:W68)</f>
        <v>1.8995899999999999</v>
      </c>
      <c r="I73" s="1"/>
      <c r="J73" s="137" t="s">
        <v>182</v>
      </c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</row>
    <row r="74" spans="1:53" ht="15.75" thickBo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</row>
    <row r="75" spans="1:53" x14ac:dyDescent="0.25">
      <c r="A75" s="1"/>
      <c r="B75" s="1"/>
      <c r="C75" s="1"/>
      <c r="D75" s="1"/>
      <c r="E75" s="1"/>
      <c r="F75" s="49" t="s">
        <v>166</v>
      </c>
      <c r="G75" s="9"/>
      <c r="H75" s="51" t="e">
        <f>(LN($H$72/I64)+((I66^2)/2*(I65-$H$11)))/(I66*SQRT(I65-$H$11))</f>
        <v>#NUM!</v>
      </c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</row>
    <row r="76" spans="1:53" x14ac:dyDescent="0.25">
      <c r="A76" s="1"/>
      <c r="B76" s="1"/>
      <c r="C76" s="1"/>
      <c r="D76" s="1"/>
      <c r="E76" s="1"/>
      <c r="F76" s="52" t="s">
        <v>167</v>
      </c>
      <c r="G76" s="1"/>
      <c r="H76" s="54" t="e">
        <f>H75-I66*SQRT(I65-H11)</f>
        <v>#NUM!</v>
      </c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</row>
    <row r="77" spans="1:53" x14ac:dyDescent="0.25">
      <c r="A77" s="1"/>
      <c r="B77" s="1"/>
      <c r="C77" s="1"/>
      <c r="D77" s="1"/>
      <c r="E77" s="1"/>
      <c r="F77" s="52" t="s">
        <v>168</v>
      </c>
      <c r="G77" s="1"/>
      <c r="H77" s="54" t="e">
        <f>_xlfn.NORM.S.DIST(H75, TRUE)</f>
        <v>#NUM!</v>
      </c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</row>
    <row r="78" spans="1:53" ht="15.75" thickBot="1" x14ac:dyDescent="0.3">
      <c r="A78" s="1"/>
      <c r="B78" s="1"/>
      <c r="C78" s="1"/>
      <c r="D78" s="1"/>
      <c r="E78" s="1"/>
      <c r="F78" s="55" t="s">
        <v>169</v>
      </c>
      <c r="G78" s="14"/>
      <c r="H78" s="132" t="e">
        <f>_xlfn.NORM.S.DIST(H76, TRUE)</f>
        <v>#NUM!</v>
      </c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</row>
    <row r="79" spans="1:53" ht="15.75" thickBot="1" x14ac:dyDescent="0.3">
      <c r="A79" s="1"/>
      <c r="B79" s="1"/>
      <c r="C79" s="1"/>
      <c r="D79" s="1"/>
      <c r="E79" s="1"/>
      <c r="F79" s="128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</row>
    <row r="80" spans="1:53" x14ac:dyDescent="0.25">
      <c r="A80" s="1"/>
      <c r="B80" s="1"/>
      <c r="C80" s="1"/>
      <c r="D80" s="1"/>
      <c r="E80" s="1"/>
      <c r="F80" s="49" t="s">
        <v>183</v>
      </c>
      <c r="G80" s="9"/>
      <c r="H80" s="134" t="e">
        <f>I61*I62*H73*(H72*H77-I64*H78)</f>
        <v>#NUM!</v>
      </c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</row>
    <row r="81" spans="1:53" ht="15.75" thickBot="1" x14ac:dyDescent="0.3">
      <c r="A81" s="1"/>
      <c r="B81" s="1"/>
      <c r="C81" s="1"/>
      <c r="D81" s="1"/>
      <c r="E81" s="1"/>
      <c r="F81" s="55" t="s">
        <v>184</v>
      </c>
      <c r="G81" s="14"/>
      <c r="H81" s="135" t="e">
        <f>H80-I61*H73*I62*(H72-I64)</f>
        <v>#NUM!</v>
      </c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</row>
    <row r="82" spans="1:53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</row>
    <row r="83" spans="1:53" x14ac:dyDescent="0.25">
      <c r="A83" s="1"/>
      <c r="B83" s="1"/>
      <c r="C83" s="1"/>
      <c r="D83" s="1"/>
      <c r="E83" s="1"/>
      <c r="F83" s="128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</row>
    <row r="84" spans="1:53" x14ac:dyDescent="0.25">
      <c r="A84" s="1"/>
      <c r="B84" s="1"/>
      <c r="C84" s="1"/>
      <c r="D84" s="1"/>
      <c r="E84" s="1"/>
      <c r="F84" s="128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</row>
    <row r="85" spans="1:53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</row>
    <row r="86" spans="1:53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</row>
    <row r="87" spans="1:53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</row>
    <row r="88" spans="1:53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</row>
    <row r="89" spans="1:53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</row>
    <row r="90" spans="1:53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</row>
    <row r="91" spans="1:53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</row>
    <row r="92" spans="1:53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</row>
    <row r="93" spans="1:53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</row>
    <row r="94" spans="1:53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</row>
    <row r="95" spans="1:53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</row>
    <row r="96" spans="1:53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</row>
    <row r="97" spans="1:53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</row>
    <row r="98" spans="1:53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</row>
    <row r="99" spans="1:53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</row>
    <row r="100" spans="1:53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</row>
    <row r="101" spans="1:53" x14ac:dyDescent="0.2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</row>
    <row r="102" spans="1:53" x14ac:dyDescent="0.2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</row>
    <row r="103" spans="1:53" x14ac:dyDescent="0.2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</row>
    <row r="104" spans="1:53" x14ac:dyDescent="0.2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</row>
    <row r="105" spans="1:53" x14ac:dyDescent="0.2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</row>
    <row r="106" spans="1:53" x14ac:dyDescent="0.25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</row>
    <row r="107" spans="1:53" x14ac:dyDescent="0.2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</row>
    <row r="108" spans="1:53" x14ac:dyDescent="0.2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</row>
    <row r="109" spans="1:53" x14ac:dyDescent="0.2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</row>
    <row r="110" spans="1:53" x14ac:dyDescent="0.2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</row>
    <row r="111" spans="1:53" x14ac:dyDescent="0.2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</row>
  </sheetData>
  <mergeCells count="3">
    <mergeCell ref="B2:F2"/>
    <mergeCell ref="B4:G4"/>
    <mergeCell ref="H12:J12"/>
  </mergeCells>
  <conditionalFormatting sqref="H9:W9">
    <cfRule type="expression" dxfId="11" priority="1">
      <formula>H7&lt;=$D$12</formula>
    </cfRule>
    <cfRule type="expression" dxfId="10" priority="2">
      <formula>H7&gt;$D$12</formula>
    </cfRule>
  </conditionalFormatting>
  <conditionalFormatting sqref="H13:W13">
    <cfRule type="expression" dxfId="9" priority="3">
      <formula>H7&gt;$D$12</formula>
    </cfRule>
    <cfRule type="expression" dxfId="8" priority="4">
      <formula>H7&gt;$D$12</formula>
    </cfRule>
  </conditionalFormatting>
  <conditionalFormatting sqref="H54 X54 AB54 AR54">
    <cfRule type="expression" dxfId="7" priority="5">
      <formula>AND(#REF!=$D$18+$D$9, I$17=$D$17+$D$9)</formula>
    </cfRule>
  </conditionalFormatting>
  <conditionalFormatting sqref="H17:X33 AB17:AR33 H38:X40 AB38:AR40 H41:H53 J41:X53 AB41:AB53 AD41:AR53 I41:I54 AC41:AC54 J54:W54 AD54:AQ54">
    <cfRule type="expression" dxfId="6" priority="6">
      <formula>AND($H18=$D$18+$D$9, I$17=$D$17+$D$9)</formula>
    </cfRule>
  </conditionalFormatting>
  <dataValidations count="2">
    <dataValidation type="list" allowBlank="1" showInputMessage="1" showErrorMessage="1" sqref="D8" xr:uid="{56D179D9-989F-4F62-80A8-1FE669117304}">
      <formula1>"1,2,4,Continuous"</formula1>
    </dataValidation>
    <dataValidation type="list" allowBlank="1" showInputMessage="1" showErrorMessage="1" sqref="G35" xr:uid="{95D83055-6BF7-491F-9064-7722D86A8465}">
      <formula1>"1,2,4,Cont"</formula1>
    </dataValidation>
  </dataValidations>
  <hyperlinks>
    <hyperlink ref="H12" location="'Rate and discount'!B27" display="'Rate and discount'!B27" xr:uid="{B3B01C20-42AF-44E9-8BE3-BABCD3C8FA40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4F802E-8581-48AA-9766-2881E105489B}">
  <dimension ref="A1"/>
  <sheetViews>
    <sheetView workbookViewId="0">
      <selection activeCell="G18" sqref="G18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Resume</vt:lpstr>
      <vt:lpstr>Rate and discount</vt:lpstr>
      <vt:lpstr>Bond pricing</vt:lpstr>
      <vt:lpstr>Duration &amp; Convexity</vt:lpstr>
      <vt:lpstr>Forwards on bonds</vt:lpstr>
      <vt:lpstr>FRA - Forward Rate Agreement</vt:lpstr>
      <vt:lpstr>IRS - Interest Rate Swap</vt:lpstr>
      <vt:lpstr>Caps &amp; Floors</vt:lpstr>
      <vt:lpstr>Swaptions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Andreas Duquenne</dc:creator>
  <cp:lastModifiedBy>Andreas Duquenne</cp:lastModifiedBy>
  <dcterms:created xsi:type="dcterms:W3CDTF">2024-06-20T20:22:33Z</dcterms:created>
  <dcterms:modified xsi:type="dcterms:W3CDTF">2024-07-17T21:01:49Z</dcterms:modified>
</cp:coreProperties>
</file>